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Antigavity\Web Nap Tien\"/>
    </mc:Choice>
  </mc:AlternateContent>
  <xr:revisionPtr revIDLastSave="0" documentId="13_ncr:1_{1FCBFCB6-29DA-431E-8D3B-8F816C1B28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Sách Tổng KH" sheetId="1" r:id="rId1"/>
    <sheet name="Danh Sách Hủy Đơn" sheetId="2" r:id="rId2"/>
    <sheet name="Danh Sách Phát Sinh" sheetId="3" r:id="rId3"/>
    <sheet name="Danh Sách Đơn Chưa Cho Chạy" sheetId="4" r:id="rId4"/>
    <sheet name="Trạng thái Đơn OTP" sheetId="5" r:id="rId5"/>
    <sheet name="Trạng thái Đơn Nạp hộ" sheetId="6" r:id="rId6"/>
  </sheets>
  <definedNames>
    <definedName name="_xlnm._FilterDatabase" localSheetId="3" hidden="1">'Danh Sách Đơn Chưa Cho Chạy'!$A$1:$F$907</definedName>
    <definedName name="_xlnm._FilterDatabase" localSheetId="5" hidden="1">'Trạng thái Đơn Nạp hộ'!$A$1:$F$2</definedName>
    <definedName name="_xlnm._FilterDatabase" localSheetId="4" hidden="1">'Trạng thái Đơn OTP'!$A$1:$G$1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1" i="6" l="1"/>
  <c r="C181" i="6"/>
  <c r="B181" i="6"/>
  <c r="F180" i="6"/>
  <c r="C180" i="6"/>
  <c r="B180" i="6"/>
  <c r="F179" i="6"/>
  <c r="C179" i="6"/>
  <c r="B179" i="6"/>
  <c r="F178" i="6"/>
  <c r="C178" i="6"/>
  <c r="B178" i="6"/>
  <c r="F177" i="6"/>
  <c r="C177" i="6"/>
  <c r="B177" i="6"/>
  <c r="F176" i="6"/>
  <c r="C176" i="6"/>
  <c r="B176" i="6"/>
  <c r="F175" i="6"/>
  <c r="C175" i="6"/>
  <c r="B175" i="6"/>
  <c r="F174" i="6"/>
  <c r="C174" i="6"/>
  <c r="B174" i="6"/>
  <c r="F173" i="6"/>
  <c r="C173" i="6"/>
  <c r="B173" i="6"/>
  <c r="F172" i="6"/>
  <c r="C172" i="6"/>
  <c r="B172" i="6"/>
  <c r="F171" i="6"/>
  <c r="C171" i="6"/>
  <c r="B171" i="6"/>
  <c r="F170" i="6"/>
  <c r="C170" i="6"/>
  <c r="B170" i="6"/>
  <c r="F169" i="6"/>
  <c r="C169" i="6"/>
  <c r="B169" i="6"/>
  <c r="F168" i="6"/>
  <c r="C168" i="6"/>
  <c r="B168" i="6"/>
  <c r="F167" i="6"/>
  <c r="C167" i="6"/>
  <c r="B167" i="6"/>
  <c r="F166" i="6"/>
  <c r="C166" i="6"/>
  <c r="B166" i="6"/>
  <c r="F165" i="6"/>
  <c r="C165" i="6"/>
  <c r="B165" i="6"/>
  <c r="F164" i="6"/>
  <c r="C164" i="6"/>
  <c r="B164" i="6"/>
  <c r="F163" i="6"/>
  <c r="C163" i="6"/>
  <c r="B163" i="6"/>
  <c r="F162" i="6"/>
  <c r="C162" i="6"/>
  <c r="B162" i="6"/>
  <c r="F161" i="6"/>
  <c r="C161" i="6"/>
  <c r="B161" i="6"/>
  <c r="F160" i="6"/>
  <c r="C160" i="6"/>
  <c r="B160" i="6"/>
  <c r="F159" i="6"/>
  <c r="C159" i="6"/>
  <c r="B159" i="6"/>
  <c r="F158" i="6"/>
  <c r="C158" i="6"/>
  <c r="B158" i="6"/>
  <c r="F157" i="6"/>
  <c r="C157" i="6"/>
  <c r="B157" i="6"/>
  <c r="F156" i="6"/>
  <c r="C156" i="6"/>
  <c r="B156" i="6"/>
  <c r="F155" i="6"/>
  <c r="C155" i="6"/>
  <c r="B155" i="6"/>
  <c r="F154" i="6"/>
  <c r="C154" i="6"/>
  <c r="B154" i="6"/>
  <c r="F153" i="6"/>
  <c r="C153" i="6"/>
  <c r="B153" i="6"/>
  <c r="F152" i="6"/>
  <c r="C152" i="6"/>
  <c r="B152" i="6"/>
  <c r="F151" i="6"/>
  <c r="C151" i="6"/>
  <c r="B151" i="6"/>
  <c r="F150" i="6"/>
  <c r="C150" i="6"/>
  <c r="B150" i="6"/>
  <c r="F149" i="6"/>
  <c r="C149" i="6"/>
  <c r="B149" i="6"/>
  <c r="F148" i="6"/>
  <c r="C148" i="6"/>
  <c r="B148" i="6"/>
  <c r="F147" i="6"/>
  <c r="C147" i="6"/>
  <c r="B147" i="6"/>
  <c r="F146" i="6"/>
  <c r="C146" i="6"/>
  <c r="B146" i="6"/>
  <c r="F145" i="6"/>
  <c r="C145" i="6"/>
  <c r="B145" i="6"/>
  <c r="F144" i="6"/>
  <c r="C144" i="6"/>
  <c r="B144" i="6"/>
  <c r="F143" i="6"/>
  <c r="C143" i="6"/>
  <c r="B143" i="6"/>
  <c r="F142" i="6"/>
  <c r="C142" i="6"/>
  <c r="B142" i="6"/>
  <c r="F141" i="6"/>
  <c r="C141" i="6"/>
  <c r="B141" i="6"/>
  <c r="F140" i="6"/>
  <c r="C140" i="6"/>
  <c r="B140" i="6"/>
  <c r="F139" i="6"/>
  <c r="C139" i="6"/>
  <c r="B139" i="6"/>
  <c r="F138" i="6"/>
  <c r="C138" i="6"/>
  <c r="B138" i="6"/>
  <c r="F137" i="6"/>
  <c r="C137" i="6"/>
  <c r="B137" i="6"/>
  <c r="F136" i="6"/>
  <c r="C136" i="6"/>
  <c r="B136" i="6"/>
  <c r="F135" i="6"/>
  <c r="C135" i="6"/>
  <c r="B135" i="6"/>
  <c r="F134" i="6"/>
  <c r="C134" i="6"/>
  <c r="B134" i="6"/>
  <c r="F133" i="6"/>
  <c r="C133" i="6"/>
  <c r="B133" i="6"/>
  <c r="F132" i="6"/>
  <c r="C132" i="6"/>
  <c r="B132" i="6"/>
  <c r="F131" i="6"/>
  <c r="C131" i="6"/>
  <c r="B131" i="6"/>
  <c r="F130" i="6"/>
  <c r="C130" i="6"/>
  <c r="B130" i="6"/>
  <c r="F129" i="6"/>
  <c r="C129" i="6"/>
  <c r="B129" i="6"/>
  <c r="F128" i="6"/>
  <c r="C128" i="6"/>
  <c r="B128" i="6"/>
  <c r="F127" i="6"/>
  <c r="C127" i="6"/>
  <c r="B127" i="6"/>
  <c r="F126" i="6"/>
  <c r="C126" i="6"/>
  <c r="B126" i="6"/>
  <c r="F125" i="6"/>
  <c r="C125" i="6"/>
  <c r="B125" i="6"/>
  <c r="F124" i="6"/>
  <c r="C124" i="6"/>
  <c r="B124" i="6"/>
  <c r="F123" i="6"/>
  <c r="C123" i="6"/>
  <c r="B123" i="6"/>
  <c r="F122" i="6"/>
  <c r="C122" i="6"/>
  <c r="B122" i="6"/>
  <c r="F121" i="6"/>
  <c r="C121" i="6"/>
  <c r="B121" i="6"/>
  <c r="F120" i="6"/>
  <c r="C120" i="6"/>
  <c r="B120" i="6"/>
  <c r="F119" i="6"/>
  <c r="C119" i="6"/>
  <c r="B119" i="6"/>
  <c r="F118" i="6"/>
  <c r="C118" i="6"/>
  <c r="B118" i="6"/>
  <c r="F117" i="6"/>
  <c r="C117" i="6"/>
  <c r="B117" i="6"/>
  <c r="F116" i="6"/>
  <c r="C116" i="6"/>
  <c r="B116" i="6"/>
  <c r="F115" i="6"/>
  <c r="C115" i="6"/>
  <c r="B115" i="6"/>
  <c r="F114" i="6"/>
  <c r="C114" i="6"/>
  <c r="B114" i="6"/>
  <c r="F113" i="6"/>
  <c r="C113" i="6"/>
  <c r="B113" i="6"/>
  <c r="F112" i="6"/>
  <c r="C112" i="6"/>
  <c r="B112" i="6"/>
  <c r="F111" i="6"/>
  <c r="C111" i="6"/>
  <c r="B111" i="6"/>
  <c r="F110" i="6"/>
  <c r="C110" i="6"/>
  <c r="B110" i="6"/>
  <c r="F109" i="6"/>
  <c r="C109" i="6"/>
  <c r="B109" i="6"/>
  <c r="F108" i="6"/>
  <c r="C108" i="6"/>
  <c r="B108" i="6"/>
  <c r="F107" i="6"/>
  <c r="C107" i="6"/>
  <c r="B107" i="6"/>
  <c r="F106" i="6"/>
  <c r="C106" i="6"/>
  <c r="B106" i="6"/>
  <c r="F105" i="6"/>
  <c r="C105" i="6"/>
  <c r="B105" i="6"/>
  <c r="F104" i="6"/>
  <c r="C104" i="6"/>
  <c r="B104" i="6"/>
  <c r="F103" i="6"/>
  <c r="C103" i="6"/>
  <c r="B103" i="6"/>
  <c r="F102" i="6"/>
  <c r="C102" i="6"/>
  <c r="B102" i="6"/>
  <c r="F101" i="6"/>
  <c r="C101" i="6"/>
  <c r="B101" i="6"/>
  <c r="F100" i="6"/>
  <c r="C100" i="6"/>
  <c r="B100" i="6"/>
  <c r="F99" i="6"/>
  <c r="C99" i="6"/>
  <c r="B99" i="6"/>
  <c r="F98" i="6"/>
  <c r="C98" i="6"/>
  <c r="B98" i="6"/>
  <c r="F97" i="6"/>
  <c r="C97" i="6"/>
  <c r="B97" i="6"/>
  <c r="F96" i="6"/>
  <c r="C96" i="6"/>
  <c r="B96" i="6"/>
  <c r="F95" i="6"/>
  <c r="C95" i="6"/>
  <c r="B95" i="6"/>
  <c r="F94" i="6"/>
  <c r="C94" i="6"/>
  <c r="B94" i="6"/>
  <c r="F93" i="6"/>
  <c r="C93" i="6"/>
  <c r="B93" i="6"/>
  <c r="F92" i="6"/>
  <c r="C92" i="6"/>
  <c r="B92" i="6"/>
  <c r="F91" i="6"/>
  <c r="C91" i="6"/>
  <c r="B91" i="6"/>
  <c r="F90" i="6"/>
  <c r="C90" i="6"/>
  <c r="B90" i="6"/>
  <c r="F89" i="6"/>
  <c r="C89" i="6"/>
  <c r="B89" i="6"/>
  <c r="F88" i="6"/>
  <c r="C88" i="6"/>
  <c r="B88" i="6"/>
  <c r="F87" i="6"/>
  <c r="C87" i="6"/>
  <c r="B87" i="6"/>
  <c r="F86" i="6"/>
  <c r="C86" i="6"/>
  <c r="B86" i="6"/>
  <c r="F85" i="6"/>
  <c r="C85" i="6"/>
  <c r="B85" i="6"/>
  <c r="F84" i="6"/>
  <c r="C84" i="6"/>
  <c r="B84" i="6"/>
  <c r="F83" i="6"/>
  <c r="C83" i="6"/>
  <c r="B83" i="6"/>
  <c r="F82" i="6"/>
  <c r="C82" i="6"/>
  <c r="B82" i="6"/>
  <c r="F81" i="6"/>
  <c r="C81" i="6"/>
  <c r="B81" i="6"/>
  <c r="F80" i="6"/>
  <c r="C80" i="6"/>
  <c r="B80" i="6"/>
  <c r="F79" i="6"/>
  <c r="C79" i="6"/>
  <c r="B79" i="6"/>
  <c r="F78" i="6"/>
  <c r="C78" i="6"/>
  <c r="B78" i="6"/>
  <c r="F77" i="6"/>
  <c r="C77" i="6"/>
  <c r="B77" i="6"/>
  <c r="F76" i="6"/>
  <c r="C76" i="6"/>
  <c r="B76" i="6"/>
  <c r="F75" i="6"/>
  <c r="C75" i="6"/>
  <c r="B75" i="6"/>
  <c r="F74" i="6"/>
  <c r="C74" i="6"/>
  <c r="B74" i="6"/>
  <c r="F73" i="6"/>
  <c r="C73" i="6"/>
  <c r="B73" i="6"/>
  <c r="F72" i="6"/>
  <c r="C72" i="6"/>
  <c r="B72" i="6"/>
  <c r="F71" i="6"/>
  <c r="C71" i="6"/>
  <c r="B71" i="6"/>
  <c r="F70" i="6"/>
  <c r="C70" i="6"/>
  <c r="B70" i="6"/>
  <c r="F69" i="6"/>
  <c r="C69" i="6"/>
  <c r="B69" i="6"/>
  <c r="F68" i="6"/>
  <c r="C68" i="6"/>
  <c r="B68" i="6"/>
  <c r="F67" i="6"/>
  <c r="C67" i="6"/>
  <c r="B67" i="6"/>
  <c r="F66" i="6"/>
  <c r="C66" i="6"/>
  <c r="B66" i="6"/>
  <c r="F65" i="6"/>
  <c r="C65" i="6"/>
  <c r="B65" i="6"/>
  <c r="F64" i="6"/>
  <c r="C64" i="6"/>
  <c r="B64" i="6"/>
  <c r="F63" i="6"/>
  <c r="C63" i="6"/>
  <c r="B63" i="6"/>
  <c r="F62" i="6"/>
  <c r="C62" i="6"/>
  <c r="B62" i="6"/>
  <c r="F61" i="6"/>
  <c r="C61" i="6"/>
  <c r="B61" i="6"/>
  <c r="F60" i="6"/>
  <c r="C60" i="6"/>
  <c r="B60" i="6"/>
  <c r="F59" i="6"/>
  <c r="C59" i="6"/>
  <c r="B59" i="6"/>
  <c r="F58" i="6"/>
  <c r="C58" i="6"/>
  <c r="B58" i="6"/>
  <c r="F57" i="6"/>
  <c r="C57" i="6"/>
  <c r="B57" i="6"/>
  <c r="F56" i="6"/>
  <c r="C56" i="6"/>
  <c r="B56" i="6"/>
  <c r="F55" i="6"/>
  <c r="C55" i="6"/>
  <c r="B55" i="6"/>
  <c r="F54" i="6"/>
  <c r="C54" i="6"/>
  <c r="B54" i="6"/>
  <c r="F53" i="6"/>
  <c r="C53" i="6"/>
  <c r="B53" i="6"/>
  <c r="F52" i="6"/>
  <c r="C52" i="6"/>
  <c r="B52" i="6"/>
  <c r="F51" i="6"/>
  <c r="C51" i="6"/>
  <c r="B51" i="6"/>
  <c r="F50" i="6"/>
  <c r="C50" i="6"/>
  <c r="B50" i="6"/>
  <c r="F49" i="6"/>
  <c r="C49" i="6"/>
  <c r="B49" i="6"/>
  <c r="F48" i="6"/>
  <c r="C48" i="6"/>
  <c r="B48" i="6"/>
  <c r="F47" i="6"/>
  <c r="C47" i="6"/>
  <c r="B47" i="6"/>
  <c r="F46" i="6"/>
  <c r="C46" i="6"/>
  <c r="B46" i="6"/>
  <c r="F45" i="6"/>
  <c r="C45" i="6"/>
  <c r="B45" i="6"/>
  <c r="F44" i="6"/>
  <c r="C44" i="6"/>
  <c r="B44" i="6"/>
  <c r="F43" i="6"/>
  <c r="C43" i="6"/>
  <c r="B43" i="6"/>
  <c r="F42" i="6"/>
  <c r="C42" i="6"/>
  <c r="B42" i="6"/>
  <c r="F41" i="6"/>
  <c r="C41" i="6"/>
  <c r="B41" i="6"/>
  <c r="F40" i="6"/>
  <c r="C40" i="6"/>
  <c r="B40" i="6"/>
  <c r="F39" i="6"/>
  <c r="C39" i="6"/>
  <c r="B39" i="6"/>
  <c r="F38" i="6"/>
  <c r="C38" i="6"/>
  <c r="B38" i="6"/>
  <c r="F37" i="6"/>
  <c r="C37" i="6"/>
  <c r="B37" i="6"/>
  <c r="F36" i="6"/>
  <c r="C36" i="6"/>
  <c r="B36" i="6"/>
  <c r="F35" i="6"/>
  <c r="C35" i="6"/>
  <c r="B35" i="6"/>
  <c r="F34" i="6"/>
  <c r="C34" i="6"/>
  <c r="B34" i="6"/>
  <c r="F33" i="6"/>
  <c r="C33" i="6"/>
  <c r="B33" i="6"/>
  <c r="F32" i="6"/>
  <c r="C32" i="6"/>
  <c r="B32" i="6"/>
  <c r="F31" i="6"/>
  <c r="C31" i="6"/>
  <c r="B31" i="6"/>
  <c r="F30" i="6"/>
  <c r="C30" i="6"/>
  <c r="B30" i="6"/>
  <c r="F29" i="6"/>
  <c r="C29" i="6"/>
  <c r="B29" i="6"/>
  <c r="F28" i="6"/>
  <c r="C28" i="6"/>
  <c r="B28" i="6"/>
  <c r="F27" i="6"/>
  <c r="C27" i="6"/>
  <c r="B27" i="6"/>
  <c r="F26" i="6"/>
  <c r="C26" i="6"/>
  <c r="B26" i="6"/>
  <c r="F25" i="6"/>
  <c r="C25" i="6"/>
  <c r="B25" i="6"/>
  <c r="F24" i="6"/>
  <c r="C24" i="6"/>
  <c r="B24" i="6"/>
  <c r="F23" i="6"/>
  <c r="C23" i="6"/>
  <c r="B23" i="6"/>
  <c r="F22" i="6"/>
  <c r="C22" i="6"/>
  <c r="B22" i="6"/>
  <c r="F21" i="6"/>
  <c r="C21" i="6"/>
  <c r="B21" i="6"/>
  <c r="F20" i="6"/>
  <c r="C20" i="6"/>
  <c r="B20" i="6"/>
  <c r="F19" i="6"/>
  <c r="C19" i="6"/>
  <c r="B19" i="6"/>
  <c r="F18" i="6"/>
  <c r="C18" i="6"/>
  <c r="B18" i="6"/>
  <c r="F17" i="6"/>
  <c r="C17" i="6"/>
  <c r="B17" i="6"/>
  <c r="F16" i="6"/>
  <c r="C16" i="6"/>
  <c r="B16" i="6"/>
  <c r="F15" i="6"/>
  <c r="C15" i="6"/>
  <c r="B15" i="6"/>
  <c r="F14" i="6"/>
  <c r="C14" i="6"/>
  <c r="B14" i="6"/>
  <c r="F13" i="6"/>
  <c r="C13" i="6"/>
  <c r="B13" i="6"/>
  <c r="F12" i="6"/>
  <c r="C12" i="6"/>
  <c r="B12" i="6"/>
  <c r="F11" i="6"/>
  <c r="C11" i="6"/>
  <c r="B11" i="6"/>
  <c r="F10" i="6"/>
  <c r="C10" i="6"/>
  <c r="B10" i="6"/>
  <c r="F9" i="6"/>
  <c r="C9" i="6"/>
  <c r="B9" i="6"/>
  <c r="F8" i="6"/>
  <c r="C8" i="6"/>
  <c r="B8" i="6"/>
  <c r="F7" i="6"/>
  <c r="C7" i="6"/>
  <c r="B7" i="6"/>
  <c r="F6" i="6"/>
  <c r="C6" i="6"/>
  <c r="B6" i="6"/>
  <c r="F5" i="6"/>
  <c r="C5" i="6"/>
  <c r="B5" i="6"/>
  <c r="F4" i="6"/>
  <c r="C4" i="6"/>
  <c r="B4" i="6"/>
  <c r="F3" i="6"/>
  <c r="C3" i="6"/>
  <c r="B3" i="6"/>
  <c r="A1" i="6"/>
  <c r="F80" i="5"/>
  <c r="C80" i="5"/>
  <c r="B80" i="5"/>
  <c r="F79" i="5"/>
  <c r="C79" i="5"/>
  <c r="B79" i="5"/>
  <c r="F78" i="5"/>
  <c r="C78" i="5"/>
  <c r="B78" i="5"/>
  <c r="F77" i="5"/>
  <c r="C77" i="5"/>
  <c r="B77" i="5"/>
  <c r="F76" i="5"/>
  <c r="C76" i="5"/>
  <c r="B76" i="5"/>
  <c r="F75" i="5"/>
  <c r="C75" i="5"/>
  <c r="B75" i="5"/>
  <c r="F74" i="5"/>
  <c r="C74" i="5"/>
  <c r="B74" i="5"/>
  <c r="F73" i="5"/>
  <c r="C73" i="5"/>
  <c r="B73" i="5"/>
  <c r="F72" i="5"/>
  <c r="C72" i="5"/>
  <c r="B72" i="5"/>
  <c r="F71" i="5"/>
  <c r="C71" i="5"/>
  <c r="B71" i="5"/>
  <c r="F70" i="5"/>
  <c r="C70" i="5"/>
  <c r="B70" i="5"/>
  <c r="F69" i="5"/>
  <c r="C69" i="5"/>
  <c r="B69" i="5"/>
  <c r="F68" i="5"/>
  <c r="C68" i="5"/>
  <c r="B68" i="5"/>
  <c r="F67" i="5"/>
  <c r="C67" i="5"/>
  <c r="B67" i="5"/>
  <c r="F66" i="5"/>
  <c r="C66" i="5"/>
  <c r="B66" i="5"/>
  <c r="F65" i="5"/>
  <c r="C65" i="5"/>
  <c r="B65" i="5"/>
  <c r="F64" i="5"/>
  <c r="C64" i="5"/>
  <c r="B64" i="5"/>
  <c r="F63" i="5"/>
  <c r="C63" i="5"/>
  <c r="B63" i="5"/>
  <c r="F62" i="5"/>
  <c r="C62" i="5"/>
  <c r="B62" i="5"/>
  <c r="F61" i="5"/>
  <c r="C61" i="5"/>
  <c r="B61" i="5"/>
  <c r="F60" i="5"/>
  <c r="C60" i="5"/>
  <c r="B60" i="5"/>
  <c r="F59" i="5"/>
  <c r="C59" i="5"/>
  <c r="B59" i="5"/>
  <c r="F58" i="5"/>
  <c r="C58" i="5"/>
  <c r="B58" i="5"/>
  <c r="F57" i="5"/>
  <c r="C57" i="5"/>
  <c r="B57" i="5"/>
  <c r="F56" i="5"/>
  <c r="C56" i="5"/>
  <c r="B56" i="5"/>
  <c r="F55" i="5"/>
  <c r="C55" i="5"/>
  <c r="B55" i="5"/>
  <c r="F54" i="5"/>
  <c r="C54" i="5"/>
  <c r="B54" i="5"/>
  <c r="F53" i="5"/>
  <c r="C53" i="5"/>
  <c r="B53" i="5"/>
  <c r="F52" i="5"/>
  <c r="C52" i="5"/>
  <c r="B52" i="5"/>
  <c r="F51" i="5"/>
  <c r="C51" i="5"/>
  <c r="B51" i="5"/>
  <c r="F50" i="5"/>
  <c r="C50" i="5"/>
  <c r="B50" i="5"/>
  <c r="F49" i="5"/>
  <c r="C49" i="5"/>
  <c r="B49" i="5"/>
  <c r="F48" i="5"/>
  <c r="C48" i="5"/>
  <c r="B48" i="5"/>
  <c r="F47" i="5"/>
  <c r="C47" i="5"/>
  <c r="B47" i="5"/>
  <c r="F46" i="5"/>
  <c r="C46" i="5"/>
  <c r="B46" i="5"/>
  <c r="F45" i="5"/>
  <c r="C45" i="5"/>
  <c r="B45" i="5"/>
  <c r="F44" i="5"/>
  <c r="C44" i="5"/>
  <c r="B44" i="5"/>
  <c r="F43" i="5"/>
  <c r="C43" i="5"/>
  <c r="B43" i="5"/>
  <c r="F42" i="5"/>
  <c r="C42" i="5"/>
  <c r="B42" i="5"/>
  <c r="F41" i="5"/>
  <c r="C41" i="5"/>
  <c r="B41" i="5"/>
  <c r="F40" i="5"/>
  <c r="C40" i="5"/>
  <c r="B40" i="5"/>
  <c r="F39" i="5"/>
  <c r="C39" i="5"/>
  <c r="B39" i="5"/>
  <c r="F38" i="5"/>
  <c r="C38" i="5"/>
  <c r="B38" i="5"/>
  <c r="F37" i="5"/>
  <c r="C37" i="5"/>
  <c r="B37" i="5"/>
  <c r="F36" i="5"/>
  <c r="C36" i="5"/>
  <c r="B36" i="5"/>
  <c r="F35" i="5"/>
  <c r="C35" i="5"/>
  <c r="B35" i="5"/>
  <c r="F34" i="5"/>
  <c r="C34" i="5"/>
  <c r="B34" i="5"/>
  <c r="F33" i="5"/>
  <c r="C33" i="5"/>
  <c r="B33" i="5"/>
  <c r="F32" i="5"/>
  <c r="C32" i="5"/>
  <c r="B32" i="5"/>
  <c r="F31" i="5"/>
  <c r="C31" i="5"/>
  <c r="B31" i="5"/>
  <c r="F30" i="5"/>
  <c r="C30" i="5"/>
  <c r="B30" i="5"/>
  <c r="F29" i="5"/>
  <c r="C29" i="5"/>
  <c r="B29" i="5"/>
  <c r="F28" i="5"/>
  <c r="C28" i="5"/>
  <c r="B28" i="5"/>
  <c r="F27" i="5"/>
  <c r="C27" i="5"/>
  <c r="B27" i="5"/>
  <c r="F26" i="5"/>
  <c r="C26" i="5"/>
  <c r="B26" i="5"/>
  <c r="F25" i="5"/>
  <c r="C25" i="5"/>
  <c r="B25" i="5"/>
  <c r="F24" i="5"/>
  <c r="C24" i="5"/>
  <c r="B24" i="5"/>
  <c r="F23" i="5"/>
  <c r="C23" i="5"/>
  <c r="B23" i="5"/>
  <c r="F22" i="5"/>
  <c r="C22" i="5"/>
  <c r="B22" i="5"/>
  <c r="F21" i="5"/>
  <c r="C21" i="5"/>
  <c r="B21" i="5"/>
  <c r="F20" i="5"/>
  <c r="C20" i="5"/>
  <c r="B20" i="5"/>
  <c r="F19" i="5"/>
  <c r="C19" i="5"/>
  <c r="B19" i="5"/>
  <c r="F18" i="5"/>
  <c r="C18" i="5"/>
  <c r="B18" i="5"/>
  <c r="F17" i="5"/>
  <c r="C17" i="5"/>
  <c r="B17" i="5"/>
  <c r="F16" i="5"/>
  <c r="C16" i="5"/>
  <c r="B16" i="5"/>
  <c r="F15" i="5"/>
  <c r="C15" i="5"/>
  <c r="B15" i="5"/>
  <c r="F14" i="5"/>
  <c r="C14" i="5"/>
  <c r="B14" i="5"/>
  <c r="F13" i="5"/>
  <c r="C13" i="5"/>
  <c r="B13" i="5"/>
  <c r="F12" i="5"/>
  <c r="C12" i="5"/>
  <c r="B12" i="5"/>
  <c r="F11" i="5"/>
  <c r="C11" i="5"/>
  <c r="B11" i="5"/>
  <c r="F10" i="5"/>
  <c r="C10" i="5"/>
  <c r="B10" i="5"/>
  <c r="F9" i="5"/>
  <c r="C9" i="5"/>
  <c r="B9" i="5"/>
  <c r="F8" i="5"/>
  <c r="C8" i="5"/>
  <c r="B8" i="5"/>
  <c r="F7" i="5"/>
  <c r="C7" i="5"/>
  <c r="B7" i="5"/>
  <c r="F6" i="5"/>
  <c r="C6" i="5"/>
  <c r="B6" i="5"/>
  <c r="F5" i="5"/>
  <c r="C5" i="5"/>
  <c r="B5" i="5"/>
  <c r="F4" i="5"/>
  <c r="C4" i="5"/>
  <c r="B4" i="5"/>
  <c r="F3" i="5"/>
  <c r="C3" i="5"/>
  <c r="B3" i="5"/>
  <c r="F2" i="5"/>
  <c r="C2" i="5"/>
  <c r="B2" i="5"/>
  <c r="A1" i="5"/>
  <c r="G505" i="4"/>
  <c r="C505" i="4"/>
  <c r="B505" i="4"/>
  <c r="G504" i="4"/>
  <c r="B504" i="4"/>
  <c r="C504" i="4" s="1"/>
  <c r="G503" i="4"/>
  <c r="C503" i="4"/>
  <c r="B503" i="4"/>
  <c r="G502" i="4"/>
  <c r="B502" i="4"/>
  <c r="C502" i="4" s="1"/>
  <c r="G501" i="4"/>
  <c r="C501" i="4"/>
  <c r="B501" i="4"/>
  <c r="G500" i="4"/>
  <c r="B500" i="4"/>
  <c r="C500" i="4" s="1"/>
  <c r="G499" i="4"/>
  <c r="C499" i="4"/>
  <c r="B499" i="4"/>
  <c r="G498" i="4"/>
  <c r="B498" i="4"/>
  <c r="C498" i="4" s="1"/>
  <c r="G497" i="4"/>
  <c r="C497" i="4"/>
  <c r="B497" i="4"/>
  <c r="G496" i="4"/>
  <c r="B496" i="4"/>
  <c r="C496" i="4" s="1"/>
  <c r="G495" i="4"/>
  <c r="C495" i="4"/>
  <c r="B495" i="4"/>
  <c r="G494" i="4"/>
  <c r="B494" i="4"/>
  <c r="C494" i="4" s="1"/>
  <c r="G493" i="4"/>
  <c r="C493" i="4"/>
  <c r="B493" i="4"/>
  <c r="G492" i="4"/>
  <c r="B492" i="4"/>
  <c r="C492" i="4" s="1"/>
  <c r="G491" i="4"/>
  <c r="C491" i="4"/>
  <c r="B491" i="4"/>
  <c r="G490" i="4"/>
  <c r="B490" i="4"/>
  <c r="C490" i="4" s="1"/>
  <c r="G489" i="4"/>
  <c r="C489" i="4"/>
  <c r="B489" i="4"/>
  <c r="G488" i="4"/>
  <c r="B488" i="4"/>
  <c r="C488" i="4" s="1"/>
  <c r="G487" i="4"/>
  <c r="C487" i="4"/>
  <c r="B487" i="4"/>
  <c r="G486" i="4"/>
  <c r="B486" i="4"/>
  <c r="C486" i="4" s="1"/>
  <c r="G485" i="4"/>
  <c r="C485" i="4"/>
  <c r="B485" i="4"/>
  <c r="G484" i="4"/>
  <c r="B484" i="4"/>
  <c r="C484" i="4" s="1"/>
  <c r="G483" i="4"/>
  <c r="C483" i="4"/>
  <c r="B483" i="4"/>
  <c r="G482" i="4"/>
  <c r="B482" i="4"/>
  <c r="C482" i="4" s="1"/>
  <c r="G481" i="4"/>
  <c r="C481" i="4"/>
  <c r="B481" i="4"/>
  <c r="G480" i="4"/>
  <c r="B480" i="4"/>
  <c r="C480" i="4" s="1"/>
  <c r="G479" i="4"/>
  <c r="C479" i="4"/>
  <c r="B479" i="4"/>
  <c r="G478" i="4"/>
  <c r="B478" i="4"/>
  <c r="C478" i="4" s="1"/>
  <c r="G477" i="4"/>
  <c r="C477" i="4"/>
  <c r="B477" i="4"/>
  <c r="G476" i="4"/>
  <c r="B476" i="4"/>
  <c r="C476" i="4" s="1"/>
  <c r="G475" i="4"/>
  <c r="C475" i="4"/>
  <c r="B475" i="4"/>
  <c r="G474" i="4"/>
  <c r="B474" i="4"/>
  <c r="C474" i="4" s="1"/>
  <c r="G473" i="4"/>
  <c r="C473" i="4"/>
  <c r="B473" i="4"/>
  <c r="G472" i="4"/>
  <c r="B472" i="4"/>
  <c r="C472" i="4" s="1"/>
  <c r="G471" i="4"/>
  <c r="C471" i="4"/>
  <c r="B471" i="4"/>
  <c r="G470" i="4"/>
  <c r="B470" i="4"/>
  <c r="C470" i="4" s="1"/>
  <c r="G469" i="4"/>
  <c r="C469" i="4"/>
  <c r="B469" i="4"/>
  <c r="G468" i="4"/>
  <c r="B468" i="4"/>
  <c r="C468" i="4" s="1"/>
  <c r="G467" i="4"/>
  <c r="C467" i="4"/>
  <c r="B467" i="4"/>
  <c r="G466" i="4"/>
  <c r="B466" i="4"/>
  <c r="C466" i="4" s="1"/>
  <c r="B465" i="4"/>
  <c r="C465" i="4" s="1"/>
  <c r="B464" i="4"/>
  <c r="C464" i="4" s="1"/>
  <c r="C463" i="4"/>
  <c r="B463" i="4"/>
  <c r="B462" i="4"/>
  <c r="C462" i="4" s="1"/>
  <c r="B461" i="4"/>
  <c r="C461" i="4" s="1"/>
  <c r="B460" i="4"/>
  <c r="C460" i="4" s="1"/>
  <c r="B459" i="4"/>
  <c r="C459" i="4" s="1"/>
  <c r="B458" i="4"/>
  <c r="C458" i="4" s="1"/>
  <c r="C457" i="4"/>
  <c r="B457" i="4"/>
  <c r="C456" i="4"/>
  <c r="B456" i="4"/>
  <c r="B455" i="4"/>
  <c r="C455" i="4" s="1"/>
  <c r="B454" i="4"/>
  <c r="C454" i="4" s="1"/>
  <c r="B453" i="4"/>
  <c r="C453" i="4" s="1"/>
  <c r="B452" i="4"/>
  <c r="C452" i="4" s="1"/>
  <c r="C451" i="4"/>
  <c r="B451" i="4"/>
  <c r="C450" i="4"/>
  <c r="B450" i="4"/>
  <c r="B449" i="4"/>
  <c r="C449" i="4" s="1"/>
  <c r="B448" i="4"/>
  <c r="C448" i="4" s="1"/>
  <c r="B447" i="4"/>
  <c r="C447" i="4" s="1"/>
  <c r="B446" i="4"/>
  <c r="C446" i="4" s="1"/>
  <c r="C445" i="4"/>
  <c r="B445" i="4"/>
  <c r="C444" i="4"/>
  <c r="B444" i="4"/>
  <c r="B443" i="4"/>
  <c r="C443" i="4" s="1"/>
  <c r="B442" i="4"/>
  <c r="C442" i="4" s="1"/>
  <c r="B441" i="4"/>
  <c r="C441" i="4" s="1"/>
  <c r="B440" i="4"/>
  <c r="C440" i="4" s="1"/>
  <c r="C439" i="4"/>
  <c r="B439" i="4"/>
  <c r="C438" i="4"/>
  <c r="B438" i="4"/>
  <c r="B437" i="4"/>
  <c r="C437" i="4" s="1"/>
  <c r="B436" i="4"/>
  <c r="C436" i="4" s="1"/>
  <c r="B435" i="4"/>
  <c r="C435" i="4" s="1"/>
  <c r="B434" i="4"/>
  <c r="C434" i="4" s="1"/>
  <c r="B433" i="4"/>
  <c r="C433" i="4" s="1"/>
  <c r="C432" i="4"/>
  <c r="B432" i="4"/>
  <c r="B431" i="4"/>
  <c r="C431" i="4" s="1"/>
  <c r="B430" i="4"/>
  <c r="C430" i="4" s="1"/>
  <c r="B429" i="4"/>
  <c r="C429" i="4" s="1"/>
  <c r="B428" i="4"/>
  <c r="C428" i="4" s="1"/>
  <c r="C427" i="4"/>
  <c r="B427" i="4"/>
  <c r="B426" i="4"/>
  <c r="C426" i="4" s="1"/>
  <c r="B425" i="4"/>
  <c r="C425" i="4" s="1"/>
  <c r="B424" i="4"/>
  <c r="C424" i="4" s="1"/>
  <c r="B423" i="4"/>
  <c r="C423" i="4" s="1"/>
  <c r="B422" i="4"/>
  <c r="C422" i="4" s="1"/>
  <c r="C421" i="4"/>
  <c r="B421" i="4"/>
  <c r="C420" i="4"/>
  <c r="B420" i="4"/>
  <c r="B419" i="4"/>
  <c r="C419" i="4" s="1"/>
  <c r="B418" i="4"/>
  <c r="C418" i="4" s="1"/>
  <c r="B417" i="4"/>
  <c r="C417" i="4" s="1"/>
  <c r="B416" i="4"/>
  <c r="C416" i="4" s="1"/>
  <c r="C415" i="4"/>
  <c r="B415" i="4"/>
  <c r="C414" i="4"/>
  <c r="B414" i="4"/>
  <c r="B413" i="4"/>
  <c r="C413" i="4" s="1"/>
  <c r="B412" i="4"/>
  <c r="C412" i="4" s="1"/>
  <c r="B411" i="4"/>
  <c r="C411" i="4" s="1"/>
  <c r="B410" i="4"/>
  <c r="C410" i="4" s="1"/>
  <c r="C409" i="4"/>
  <c r="B409" i="4"/>
  <c r="C408" i="4"/>
  <c r="B408" i="4"/>
  <c r="B407" i="4"/>
  <c r="C407" i="4" s="1"/>
  <c r="B406" i="4"/>
  <c r="C406" i="4" s="1"/>
  <c r="B405" i="4"/>
  <c r="C405" i="4" s="1"/>
  <c r="B404" i="4"/>
  <c r="C404" i="4" s="1"/>
  <c r="C403" i="4"/>
  <c r="B403" i="4"/>
  <c r="C402" i="4"/>
  <c r="B402" i="4"/>
  <c r="B401" i="4"/>
  <c r="C401" i="4" s="1"/>
  <c r="B400" i="4"/>
  <c r="C400" i="4" s="1"/>
  <c r="B399" i="4"/>
  <c r="C399" i="4" s="1"/>
  <c r="B398" i="4"/>
  <c r="C398" i="4" s="1"/>
  <c r="B397" i="4"/>
  <c r="C397" i="4" s="1"/>
  <c r="C396" i="4"/>
  <c r="B396" i="4"/>
  <c r="B395" i="4"/>
  <c r="C395" i="4" s="1"/>
  <c r="B394" i="4"/>
  <c r="C394" i="4" s="1"/>
  <c r="B393" i="4"/>
  <c r="C393" i="4" s="1"/>
  <c r="B392" i="4"/>
  <c r="C392" i="4" s="1"/>
  <c r="C391" i="4"/>
  <c r="B391" i="4"/>
  <c r="B390" i="4"/>
  <c r="C390" i="4" s="1"/>
  <c r="B389" i="4"/>
  <c r="C389" i="4" s="1"/>
  <c r="B388" i="4"/>
  <c r="C388" i="4" s="1"/>
  <c r="B387" i="4"/>
  <c r="C387" i="4" s="1"/>
  <c r="B386" i="4"/>
  <c r="C386" i="4" s="1"/>
  <c r="C385" i="4"/>
  <c r="B385" i="4"/>
  <c r="C384" i="4"/>
  <c r="B384" i="4"/>
  <c r="B383" i="4"/>
  <c r="C383" i="4" s="1"/>
  <c r="B382" i="4"/>
  <c r="C382" i="4" s="1"/>
  <c r="B381" i="4"/>
  <c r="C381" i="4" s="1"/>
  <c r="B380" i="4"/>
  <c r="C380" i="4" s="1"/>
  <c r="C379" i="4"/>
  <c r="B379" i="4"/>
  <c r="C378" i="4"/>
  <c r="B378" i="4"/>
  <c r="B377" i="4"/>
  <c r="C377" i="4" s="1"/>
  <c r="B376" i="4"/>
  <c r="C376" i="4" s="1"/>
  <c r="B375" i="4"/>
  <c r="C375" i="4" s="1"/>
  <c r="B374" i="4"/>
  <c r="C374" i="4" s="1"/>
  <c r="C373" i="4"/>
  <c r="B373" i="4"/>
  <c r="C372" i="4"/>
  <c r="B372" i="4"/>
  <c r="B371" i="4"/>
  <c r="C371" i="4" s="1"/>
  <c r="B370" i="4"/>
  <c r="C370" i="4" s="1"/>
  <c r="B369" i="4"/>
  <c r="C369" i="4" s="1"/>
  <c r="B368" i="4"/>
  <c r="C368" i="4" s="1"/>
  <c r="C367" i="4"/>
  <c r="B367" i="4"/>
  <c r="C366" i="4"/>
  <c r="B366" i="4"/>
  <c r="B365" i="4"/>
  <c r="C365" i="4" s="1"/>
  <c r="B364" i="4"/>
  <c r="C364" i="4" s="1"/>
  <c r="B363" i="4"/>
  <c r="C363" i="4" s="1"/>
  <c r="B362" i="4"/>
  <c r="C362" i="4" s="1"/>
  <c r="B361" i="4"/>
  <c r="C361" i="4" s="1"/>
  <c r="C360" i="4"/>
  <c r="B360" i="4"/>
  <c r="B359" i="4"/>
  <c r="C359" i="4" s="1"/>
  <c r="B358" i="4"/>
  <c r="C358" i="4" s="1"/>
  <c r="B357" i="4"/>
  <c r="C357" i="4" s="1"/>
  <c r="B356" i="4"/>
  <c r="C356" i="4" s="1"/>
  <c r="C355" i="4"/>
  <c r="B355" i="4"/>
  <c r="B354" i="4"/>
  <c r="C354" i="4" s="1"/>
  <c r="B353" i="4"/>
  <c r="C353" i="4" s="1"/>
  <c r="B352" i="4"/>
  <c r="C352" i="4" s="1"/>
  <c r="B351" i="4"/>
  <c r="C351" i="4" s="1"/>
  <c r="B350" i="4"/>
  <c r="C350" i="4" s="1"/>
  <c r="C349" i="4"/>
  <c r="B349" i="4"/>
  <c r="C348" i="4"/>
  <c r="B348" i="4"/>
  <c r="B347" i="4"/>
  <c r="C347" i="4" s="1"/>
  <c r="B346" i="4"/>
  <c r="C346" i="4" s="1"/>
  <c r="B345" i="4"/>
  <c r="C345" i="4" s="1"/>
  <c r="B344" i="4"/>
  <c r="C344" i="4" s="1"/>
  <c r="C343" i="4"/>
  <c r="B343" i="4"/>
  <c r="C342" i="4"/>
  <c r="B342" i="4"/>
  <c r="B341" i="4"/>
  <c r="C341" i="4" s="1"/>
  <c r="B340" i="4"/>
  <c r="C340" i="4" s="1"/>
  <c r="B339" i="4"/>
  <c r="C339" i="4" s="1"/>
  <c r="B338" i="4"/>
  <c r="C338" i="4" s="1"/>
  <c r="C337" i="4"/>
  <c r="B337" i="4"/>
  <c r="C336" i="4"/>
  <c r="B336" i="4"/>
  <c r="B335" i="4"/>
  <c r="C335" i="4" s="1"/>
  <c r="B334" i="4"/>
  <c r="C334" i="4" s="1"/>
  <c r="B333" i="4"/>
  <c r="C333" i="4" s="1"/>
  <c r="B332" i="4"/>
  <c r="C332" i="4" s="1"/>
  <c r="C331" i="4"/>
  <c r="B331" i="4"/>
  <c r="C330" i="4"/>
  <c r="B330" i="4"/>
  <c r="B329" i="4"/>
  <c r="C329" i="4" s="1"/>
  <c r="B328" i="4"/>
  <c r="C328" i="4" s="1"/>
  <c r="B327" i="4"/>
  <c r="C327" i="4" s="1"/>
  <c r="B326" i="4"/>
  <c r="C326" i="4" s="1"/>
  <c r="B325" i="4"/>
  <c r="C325" i="4" s="1"/>
  <c r="C324" i="4"/>
  <c r="B324" i="4"/>
  <c r="B323" i="4"/>
  <c r="C323" i="4" s="1"/>
  <c r="B322" i="4"/>
  <c r="C322" i="4" s="1"/>
  <c r="B321" i="4"/>
  <c r="C321" i="4" s="1"/>
  <c r="B320" i="4"/>
  <c r="C320" i="4" s="1"/>
  <c r="C319" i="4"/>
  <c r="B319" i="4"/>
  <c r="B318" i="4"/>
  <c r="C318" i="4" s="1"/>
  <c r="B317" i="4"/>
  <c r="C317" i="4" s="1"/>
  <c r="B316" i="4"/>
  <c r="C316" i="4" s="1"/>
  <c r="B315" i="4"/>
  <c r="C315" i="4" s="1"/>
  <c r="B314" i="4"/>
  <c r="C314" i="4" s="1"/>
  <c r="C313" i="4"/>
  <c r="B313" i="4"/>
  <c r="C312" i="4"/>
  <c r="B312" i="4"/>
  <c r="B311" i="4"/>
  <c r="C311" i="4" s="1"/>
  <c r="B310" i="4"/>
  <c r="C310" i="4" s="1"/>
  <c r="B309" i="4"/>
  <c r="C309" i="4" s="1"/>
  <c r="B308" i="4"/>
  <c r="C308" i="4" s="1"/>
  <c r="C307" i="4"/>
  <c r="B307" i="4"/>
  <c r="C306" i="4"/>
  <c r="B306" i="4"/>
  <c r="B305" i="4"/>
  <c r="C305" i="4" s="1"/>
  <c r="B304" i="4"/>
  <c r="C304" i="4" s="1"/>
  <c r="B303" i="4"/>
  <c r="C303" i="4" s="1"/>
  <c r="B302" i="4"/>
  <c r="C302" i="4" s="1"/>
  <c r="C301" i="4"/>
  <c r="B301" i="4"/>
  <c r="C300" i="4"/>
  <c r="B300" i="4"/>
  <c r="B299" i="4"/>
  <c r="C299" i="4" s="1"/>
  <c r="B298" i="4"/>
  <c r="C298" i="4" s="1"/>
  <c r="B297" i="4"/>
  <c r="C297" i="4" s="1"/>
  <c r="B296" i="4"/>
  <c r="C296" i="4" s="1"/>
  <c r="C295" i="4"/>
  <c r="B295" i="4"/>
  <c r="C294" i="4"/>
  <c r="B294" i="4"/>
  <c r="B293" i="4"/>
  <c r="C293" i="4" s="1"/>
  <c r="B292" i="4"/>
  <c r="C292" i="4" s="1"/>
  <c r="B291" i="4"/>
  <c r="C291" i="4" s="1"/>
  <c r="B290" i="4"/>
  <c r="C290" i="4" s="1"/>
  <c r="B289" i="4"/>
  <c r="C289" i="4" s="1"/>
  <c r="C288" i="4"/>
  <c r="B288" i="4"/>
  <c r="B287" i="4"/>
  <c r="C287" i="4" s="1"/>
  <c r="B286" i="4"/>
  <c r="C286" i="4" s="1"/>
  <c r="B285" i="4"/>
  <c r="C285" i="4" s="1"/>
  <c r="B284" i="4"/>
  <c r="C284" i="4" s="1"/>
  <c r="C283" i="4"/>
  <c r="B283" i="4"/>
  <c r="B282" i="4"/>
  <c r="C282" i="4" s="1"/>
  <c r="B281" i="4"/>
  <c r="C281" i="4" s="1"/>
  <c r="B280" i="4"/>
  <c r="C280" i="4" s="1"/>
  <c r="B279" i="4"/>
  <c r="C279" i="4" s="1"/>
  <c r="B278" i="4"/>
  <c r="C278" i="4" s="1"/>
  <c r="C277" i="4"/>
  <c r="B277" i="4"/>
  <c r="C276" i="4"/>
  <c r="B276" i="4"/>
  <c r="B275" i="4"/>
  <c r="C275" i="4" s="1"/>
  <c r="B274" i="4"/>
  <c r="C274" i="4" s="1"/>
  <c r="B273" i="4"/>
  <c r="C273" i="4" s="1"/>
  <c r="B272" i="4"/>
  <c r="C272" i="4" s="1"/>
  <c r="C271" i="4"/>
  <c r="B271" i="4"/>
  <c r="C270" i="4"/>
  <c r="B270" i="4"/>
  <c r="B269" i="4"/>
  <c r="C269" i="4" s="1"/>
  <c r="B268" i="4"/>
  <c r="C268" i="4" s="1"/>
  <c r="B267" i="4"/>
  <c r="C267" i="4" s="1"/>
  <c r="B266" i="4"/>
  <c r="C266" i="4" s="1"/>
  <c r="C265" i="4"/>
  <c r="B265" i="4"/>
  <c r="C264" i="4"/>
  <c r="B264" i="4"/>
  <c r="B263" i="4"/>
  <c r="C263" i="4" s="1"/>
  <c r="B262" i="4"/>
  <c r="C262" i="4" s="1"/>
  <c r="B261" i="4"/>
  <c r="C261" i="4" s="1"/>
  <c r="B260" i="4"/>
  <c r="C260" i="4" s="1"/>
  <c r="C259" i="4"/>
  <c r="B259" i="4"/>
  <c r="C258" i="4"/>
  <c r="B258" i="4"/>
  <c r="B257" i="4"/>
  <c r="C257" i="4" s="1"/>
  <c r="B256" i="4"/>
  <c r="C256" i="4" s="1"/>
  <c r="B255" i="4"/>
  <c r="C255" i="4" s="1"/>
  <c r="B254" i="4"/>
  <c r="C254" i="4" s="1"/>
  <c r="B253" i="4"/>
  <c r="C253" i="4" s="1"/>
  <c r="C252" i="4"/>
  <c r="B252" i="4"/>
  <c r="B251" i="4"/>
  <c r="C251" i="4" s="1"/>
  <c r="B250" i="4"/>
  <c r="C250" i="4" s="1"/>
  <c r="B249" i="4"/>
  <c r="C249" i="4" s="1"/>
  <c r="B248" i="4"/>
  <c r="C248" i="4" s="1"/>
  <c r="C247" i="4"/>
  <c r="B247" i="4"/>
  <c r="B246" i="4"/>
  <c r="C246" i="4" s="1"/>
  <c r="B245" i="4"/>
  <c r="C245" i="4" s="1"/>
  <c r="B244" i="4"/>
  <c r="C244" i="4" s="1"/>
  <c r="B243" i="4"/>
  <c r="C243" i="4" s="1"/>
  <c r="B242" i="4"/>
  <c r="C242" i="4" s="1"/>
  <c r="C241" i="4"/>
  <c r="B241" i="4"/>
  <c r="C240" i="4"/>
  <c r="B240" i="4"/>
  <c r="B239" i="4"/>
  <c r="C239" i="4" s="1"/>
  <c r="B238" i="4"/>
  <c r="C238" i="4" s="1"/>
  <c r="B237" i="4"/>
  <c r="C237" i="4" s="1"/>
  <c r="B236" i="4"/>
  <c r="C236" i="4" s="1"/>
  <c r="C235" i="4"/>
  <c r="B235" i="4"/>
  <c r="C234" i="4"/>
  <c r="B234" i="4"/>
  <c r="B233" i="4"/>
  <c r="C233" i="4" s="1"/>
  <c r="B232" i="4"/>
  <c r="C232" i="4" s="1"/>
  <c r="B231" i="4"/>
  <c r="C231" i="4" s="1"/>
  <c r="B230" i="4"/>
  <c r="C230" i="4" s="1"/>
  <c r="C229" i="4"/>
  <c r="B229" i="4"/>
  <c r="C228" i="4"/>
  <c r="B228" i="4"/>
  <c r="B227" i="4"/>
  <c r="C227" i="4" s="1"/>
  <c r="B226" i="4"/>
  <c r="C226" i="4" s="1"/>
  <c r="B225" i="4"/>
  <c r="C225" i="4" s="1"/>
  <c r="B224" i="4"/>
  <c r="C224" i="4" s="1"/>
  <c r="C223" i="4"/>
  <c r="B223" i="4"/>
  <c r="C222" i="4"/>
  <c r="B222" i="4"/>
  <c r="B221" i="4"/>
  <c r="C221" i="4" s="1"/>
  <c r="B220" i="4"/>
  <c r="C220" i="4" s="1"/>
  <c r="B219" i="4"/>
  <c r="C219" i="4" s="1"/>
  <c r="B218" i="4"/>
  <c r="C218" i="4" s="1"/>
  <c r="B217" i="4"/>
  <c r="C217" i="4" s="1"/>
  <c r="C216" i="4"/>
  <c r="B216" i="4"/>
  <c r="B215" i="4"/>
  <c r="C215" i="4" s="1"/>
  <c r="B214" i="4"/>
  <c r="C214" i="4" s="1"/>
  <c r="B213" i="4"/>
  <c r="C213" i="4" s="1"/>
  <c r="B212" i="4"/>
  <c r="C212" i="4" s="1"/>
  <c r="C211" i="4"/>
  <c r="B211" i="4"/>
  <c r="B210" i="4"/>
  <c r="C210" i="4" s="1"/>
  <c r="B209" i="4"/>
  <c r="C209" i="4" s="1"/>
  <c r="B208" i="4"/>
  <c r="C208" i="4" s="1"/>
  <c r="B207" i="4"/>
  <c r="C207" i="4" s="1"/>
  <c r="B206" i="4"/>
  <c r="C206" i="4" s="1"/>
  <c r="C205" i="4"/>
  <c r="B205" i="4"/>
  <c r="C204" i="4"/>
  <c r="B204" i="4"/>
  <c r="B203" i="4"/>
  <c r="C203" i="4" s="1"/>
  <c r="B202" i="4"/>
  <c r="C202" i="4" s="1"/>
  <c r="B201" i="4"/>
  <c r="C201" i="4" s="1"/>
  <c r="B200" i="4"/>
  <c r="C200" i="4" s="1"/>
  <c r="C199" i="4"/>
  <c r="B199" i="4"/>
  <c r="C198" i="4"/>
  <c r="B198" i="4"/>
  <c r="B197" i="4"/>
  <c r="C197" i="4" s="1"/>
  <c r="B196" i="4"/>
  <c r="C196" i="4" s="1"/>
  <c r="B195" i="4"/>
  <c r="C195" i="4" s="1"/>
  <c r="B194" i="4"/>
  <c r="C194" i="4" s="1"/>
  <c r="C193" i="4"/>
  <c r="B193" i="4"/>
  <c r="C192" i="4"/>
  <c r="B192" i="4"/>
  <c r="B191" i="4"/>
  <c r="C191" i="4" s="1"/>
  <c r="B190" i="4"/>
  <c r="C190" i="4" s="1"/>
  <c r="B189" i="4"/>
  <c r="C189" i="4" s="1"/>
  <c r="B188" i="4"/>
  <c r="C188" i="4" s="1"/>
  <c r="C187" i="4"/>
  <c r="B187" i="4"/>
  <c r="C186" i="4"/>
  <c r="B186" i="4"/>
  <c r="B185" i="4"/>
  <c r="C185" i="4" s="1"/>
  <c r="B184" i="4"/>
  <c r="C184" i="4" s="1"/>
  <c r="B183" i="4"/>
  <c r="C183" i="4" s="1"/>
  <c r="B182" i="4"/>
  <c r="C182" i="4" s="1"/>
  <c r="B181" i="4"/>
  <c r="B180" i="4"/>
  <c r="B179" i="4"/>
  <c r="B178" i="4"/>
  <c r="B177" i="4"/>
  <c r="B176" i="4"/>
  <c r="C176" i="4" s="1"/>
  <c r="B175" i="4"/>
  <c r="C175" i="4" s="1"/>
  <c r="C174" i="4"/>
  <c r="B174" i="4"/>
  <c r="B173" i="4"/>
  <c r="C173" i="4" s="1"/>
  <c r="B172" i="4"/>
  <c r="C172" i="4" s="1"/>
  <c r="B171" i="4"/>
  <c r="B170" i="4"/>
  <c r="C170" i="4" s="1"/>
  <c r="B169" i="4"/>
  <c r="C169" i="4" s="1"/>
  <c r="B168" i="4"/>
  <c r="C168" i="4" s="1"/>
  <c r="B167" i="4"/>
  <c r="C167" i="4" s="1"/>
  <c r="C166" i="4"/>
  <c r="B166" i="4"/>
  <c r="B165" i="4"/>
  <c r="C165" i="4" s="1"/>
  <c r="B164" i="4"/>
  <c r="C164" i="4" s="1"/>
  <c r="B163" i="4"/>
  <c r="C163" i="4" s="1"/>
  <c r="B162" i="4"/>
  <c r="C162" i="4" s="1"/>
  <c r="B161" i="4"/>
  <c r="C161" i="4" s="1"/>
  <c r="C160" i="4"/>
  <c r="B160" i="4"/>
  <c r="C159" i="4"/>
  <c r="B159" i="4"/>
  <c r="B158" i="4"/>
  <c r="C158" i="4" s="1"/>
  <c r="B157" i="4"/>
  <c r="C157" i="4" s="1"/>
  <c r="B156" i="4"/>
  <c r="C156" i="4" s="1"/>
  <c r="B155" i="4"/>
  <c r="C155" i="4" s="1"/>
  <c r="C154" i="4"/>
  <c r="B154" i="4"/>
  <c r="C153" i="4"/>
  <c r="B153" i="4"/>
  <c r="B152" i="4"/>
  <c r="C152" i="4" s="1"/>
  <c r="B151" i="4"/>
  <c r="C151" i="4" s="1"/>
  <c r="B150" i="4"/>
  <c r="C150" i="4" s="1"/>
  <c r="B149" i="4"/>
  <c r="C149" i="4" s="1"/>
  <c r="C148" i="4"/>
  <c r="B148" i="4"/>
  <c r="C147" i="4"/>
  <c r="B147" i="4"/>
  <c r="B146" i="4"/>
  <c r="C146" i="4" s="1"/>
  <c r="B145" i="4"/>
  <c r="C145" i="4" s="1"/>
  <c r="B144" i="4"/>
  <c r="C144" i="4" s="1"/>
  <c r="B143" i="4"/>
  <c r="C143" i="4" s="1"/>
  <c r="C142" i="4"/>
  <c r="B142" i="4"/>
  <c r="C141" i="4"/>
  <c r="B141" i="4"/>
  <c r="B140" i="4"/>
  <c r="C140" i="4" s="1"/>
  <c r="B139" i="4"/>
  <c r="C139" i="4" s="1"/>
  <c r="B138" i="4"/>
  <c r="C138" i="4" s="1"/>
  <c r="B137" i="4"/>
  <c r="C137" i="4" s="1"/>
  <c r="B136" i="4"/>
  <c r="C136" i="4" s="1"/>
  <c r="C135" i="4"/>
  <c r="B135" i="4"/>
  <c r="B134" i="4"/>
  <c r="C134" i="4" s="1"/>
  <c r="B133" i="4"/>
  <c r="C133" i="4" s="1"/>
  <c r="B132" i="4"/>
  <c r="C132" i="4" s="1"/>
  <c r="B131" i="4"/>
  <c r="C131" i="4" s="1"/>
  <c r="C130" i="4"/>
  <c r="B130" i="4"/>
  <c r="B129" i="4"/>
  <c r="C129" i="4" s="1"/>
  <c r="B128" i="4"/>
  <c r="C128" i="4" s="1"/>
  <c r="B127" i="4"/>
  <c r="C127" i="4" s="1"/>
  <c r="B126" i="4"/>
  <c r="C126" i="4" s="1"/>
  <c r="B125" i="4"/>
  <c r="C125" i="4" s="1"/>
  <c r="C124" i="4"/>
  <c r="B124" i="4"/>
  <c r="C123" i="4"/>
  <c r="B123" i="4"/>
  <c r="B122" i="4"/>
  <c r="C122" i="4" s="1"/>
  <c r="B121" i="4"/>
  <c r="C121" i="4" s="1"/>
  <c r="B120" i="4"/>
  <c r="C120" i="4" s="1"/>
  <c r="B119" i="4"/>
  <c r="C119" i="4" s="1"/>
  <c r="C118" i="4"/>
  <c r="B118" i="4"/>
  <c r="C117" i="4"/>
  <c r="B117" i="4"/>
  <c r="B116" i="4"/>
  <c r="C116" i="4" s="1"/>
  <c r="B115" i="4"/>
  <c r="C115" i="4" s="1"/>
  <c r="B114" i="4"/>
  <c r="C114" i="4" s="1"/>
  <c r="B113" i="4"/>
  <c r="C113" i="4" s="1"/>
  <c r="C112" i="4"/>
  <c r="B112" i="4"/>
  <c r="C111" i="4"/>
  <c r="B111" i="4"/>
  <c r="B110" i="4"/>
  <c r="C110" i="4" s="1"/>
  <c r="B109" i="4"/>
  <c r="C109" i="4" s="1"/>
  <c r="B108" i="4"/>
  <c r="C108" i="4" s="1"/>
  <c r="B107" i="4"/>
  <c r="C107" i="4" s="1"/>
  <c r="C106" i="4"/>
  <c r="B106" i="4"/>
  <c r="C105" i="4"/>
  <c r="B105" i="4"/>
  <c r="B104" i="4"/>
  <c r="C104" i="4" s="1"/>
  <c r="B103" i="4"/>
  <c r="C103" i="4" s="1"/>
  <c r="B102" i="4"/>
  <c r="C102" i="4" s="1"/>
  <c r="B101" i="4"/>
  <c r="C101" i="4" s="1"/>
  <c r="B100" i="4"/>
  <c r="C100" i="4" s="1"/>
  <c r="C99" i="4"/>
  <c r="B99" i="4"/>
  <c r="B98" i="4"/>
  <c r="C98" i="4" s="1"/>
  <c r="B97" i="4"/>
  <c r="C97" i="4" s="1"/>
  <c r="B96" i="4"/>
  <c r="C96" i="4" s="1"/>
  <c r="B95" i="4"/>
  <c r="C95" i="4" s="1"/>
  <c r="C94" i="4"/>
  <c r="B94" i="4"/>
  <c r="B93" i="4"/>
  <c r="C93" i="4" s="1"/>
  <c r="B92" i="4"/>
  <c r="C92" i="4" s="1"/>
  <c r="B91" i="4"/>
  <c r="C91" i="4" s="1"/>
  <c r="B90" i="4"/>
  <c r="C90" i="4" s="1"/>
  <c r="B89" i="4"/>
  <c r="C89" i="4" s="1"/>
  <c r="C88" i="4"/>
  <c r="B88" i="4"/>
  <c r="C87" i="4"/>
  <c r="B87" i="4"/>
  <c r="B86" i="4"/>
  <c r="C86" i="4" s="1"/>
  <c r="B85" i="4"/>
  <c r="C85" i="4" s="1"/>
  <c r="B84" i="4"/>
  <c r="C84" i="4" s="1"/>
  <c r="B83" i="4"/>
  <c r="C83" i="4" s="1"/>
  <c r="C82" i="4"/>
  <c r="B82" i="4"/>
  <c r="C81" i="4"/>
  <c r="B81" i="4"/>
  <c r="B80" i="4"/>
  <c r="C80" i="4" s="1"/>
  <c r="B79" i="4"/>
  <c r="C79" i="4" s="1"/>
  <c r="B78" i="4"/>
  <c r="C78" i="4" s="1"/>
  <c r="B77" i="4"/>
  <c r="C77" i="4" s="1"/>
  <c r="C76" i="4"/>
  <c r="B76" i="4"/>
  <c r="C75" i="4"/>
  <c r="B75" i="4"/>
  <c r="B74" i="4"/>
  <c r="C74" i="4" s="1"/>
  <c r="B73" i="4"/>
  <c r="C73" i="4" s="1"/>
  <c r="B72" i="4"/>
  <c r="C72" i="4" s="1"/>
  <c r="B71" i="4"/>
  <c r="C71" i="4" s="1"/>
  <c r="C70" i="4"/>
  <c r="B70" i="4"/>
  <c r="C69" i="4"/>
  <c r="B69" i="4"/>
  <c r="B68" i="4"/>
  <c r="C68" i="4" s="1"/>
  <c r="B67" i="4"/>
  <c r="C67" i="4" s="1"/>
  <c r="B66" i="4"/>
  <c r="C66" i="4" s="1"/>
  <c r="B65" i="4"/>
  <c r="C65" i="4" s="1"/>
  <c r="B64" i="4"/>
  <c r="C64" i="4" s="1"/>
  <c r="C63" i="4"/>
  <c r="B63" i="4"/>
  <c r="B62" i="4"/>
  <c r="C62" i="4" s="1"/>
  <c r="B61" i="4"/>
  <c r="C61" i="4" s="1"/>
  <c r="B60" i="4"/>
  <c r="C60" i="4" s="1"/>
  <c r="B59" i="4"/>
  <c r="C59" i="4" s="1"/>
  <c r="C58" i="4"/>
  <c r="B58" i="4"/>
  <c r="B57" i="4"/>
  <c r="C57" i="4" s="1"/>
  <c r="B56" i="4"/>
  <c r="C56" i="4" s="1"/>
  <c r="B55" i="4"/>
  <c r="C55" i="4" s="1"/>
  <c r="B54" i="4"/>
  <c r="C54" i="4" s="1"/>
  <c r="B53" i="4"/>
  <c r="C53" i="4" s="1"/>
  <c r="C52" i="4"/>
  <c r="B52" i="4"/>
  <c r="C51" i="4"/>
  <c r="B51" i="4"/>
  <c r="B50" i="4"/>
  <c r="C50" i="4" s="1"/>
  <c r="B49" i="4"/>
  <c r="C49" i="4" s="1"/>
  <c r="B48" i="4"/>
  <c r="C48" i="4" s="1"/>
  <c r="B47" i="4"/>
  <c r="C47" i="4" s="1"/>
  <c r="C46" i="4"/>
  <c r="B46" i="4"/>
  <c r="C45" i="4"/>
  <c r="B45" i="4"/>
  <c r="B44" i="4"/>
  <c r="C44" i="4" s="1"/>
  <c r="B43" i="4"/>
  <c r="C43" i="4" s="1"/>
  <c r="B42" i="4"/>
  <c r="C42" i="4" s="1"/>
  <c r="B41" i="4"/>
  <c r="C41" i="4" s="1"/>
  <c r="C40" i="4"/>
  <c r="B40" i="4"/>
  <c r="C39" i="4"/>
  <c r="B39" i="4"/>
  <c r="B38" i="4"/>
  <c r="C38" i="4" s="1"/>
  <c r="B37" i="4"/>
  <c r="C37" i="4" s="1"/>
  <c r="B36" i="4"/>
  <c r="C36" i="4" s="1"/>
  <c r="B35" i="4"/>
  <c r="C35" i="4" s="1"/>
  <c r="C34" i="4"/>
  <c r="B34" i="4"/>
  <c r="C33" i="4"/>
  <c r="B33" i="4"/>
  <c r="B32" i="4"/>
  <c r="C32" i="4" s="1"/>
  <c r="B31" i="4"/>
  <c r="C31" i="4" s="1"/>
  <c r="B30" i="4"/>
  <c r="C30" i="4" s="1"/>
  <c r="B29" i="4"/>
  <c r="C29" i="4" s="1"/>
  <c r="B28" i="4"/>
  <c r="C28" i="4" s="1"/>
  <c r="C27" i="4"/>
  <c r="B27" i="4"/>
  <c r="B26" i="4"/>
  <c r="C26" i="4" s="1"/>
  <c r="B25" i="4"/>
  <c r="C25" i="4" s="1"/>
  <c r="B24" i="4"/>
  <c r="C24" i="4" s="1"/>
  <c r="B23" i="4"/>
  <c r="C23" i="4" s="1"/>
  <c r="C22" i="4"/>
  <c r="B22" i="4"/>
  <c r="B21" i="4"/>
  <c r="C21" i="4" s="1"/>
  <c r="B20" i="4"/>
  <c r="C20" i="4" s="1"/>
  <c r="B19" i="4"/>
  <c r="C19" i="4" s="1"/>
  <c r="B18" i="4"/>
  <c r="C18" i="4" s="1"/>
  <c r="B17" i="4"/>
  <c r="C17" i="4" s="1"/>
  <c r="C16" i="4"/>
  <c r="B16" i="4"/>
  <c r="C15" i="4"/>
  <c r="B15" i="4"/>
  <c r="B14" i="4"/>
  <c r="C14" i="4" s="1"/>
  <c r="D13" i="4"/>
  <c r="C13" i="4"/>
  <c r="B13" i="4"/>
  <c r="C12" i="4"/>
  <c r="B12" i="4"/>
  <c r="C11" i="4"/>
  <c r="B11" i="4"/>
  <c r="C10" i="4"/>
  <c r="B10" i="4"/>
  <c r="C9" i="4"/>
  <c r="B9" i="4"/>
  <c r="B8" i="4"/>
  <c r="C8" i="4" s="1"/>
  <c r="C7" i="4"/>
  <c r="B7" i="4"/>
  <c r="C6" i="4"/>
  <c r="B6" i="4"/>
  <c r="C5" i="4"/>
  <c r="B5" i="4"/>
  <c r="C4" i="4"/>
  <c r="B4" i="4"/>
  <c r="C3" i="4"/>
  <c r="B3" i="4"/>
  <c r="A1" i="4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H1" i="3"/>
  <c r="G1" i="3"/>
  <c r="A1" i="3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H1" i="2"/>
  <c r="G1" i="2"/>
  <c r="A1" i="2"/>
</calcChain>
</file>

<file path=xl/sharedStrings.xml><?xml version="1.0" encoding="utf-8"?>
<sst xmlns="http://schemas.openxmlformats.org/spreadsheetml/2006/main" count="1649" uniqueCount="519">
  <si>
    <t>Nguyễn Văn Nhu</t>
  </si>
  <si>
    <t>Trần Thị Thanh Thủy</t>
  </si>
  <si>
    <t>Phạm Hoài Nam</t>
  </si>
  <si>
    <t>Nhan Thanh Nhân</t>
  </si>
  <si>
    <t>Trân nguyen thanh nam</t>
  </si>
  <si>
    <t>Trần Thanh Hưng</t>
  </si>
  <si>
    <t>Nguyễn Minh Chí</t>
  </si>
  <si>
    <t>Bùi Thành Đạt</t>
  </si>
  <si>
    <t>Lê Thị Anh Thư</t>
  </si>
  <si>
    <t>Lê Kha Nam</t>
  </si>
  <si>
    <t>Thầu Lý</t>
  </si>
  <si>
    <t>Nguyễn Văn Minh</t>
  </si>
  <si>
    <t>Hồ Thị Tâm</t>
  </si>
  <si>
    <t>Diệp Thanh Vũ</t>
  </si>
  <si>
    <t>Đoàn Thị Tư</t>
  </si>
  <si>
    <t>Nguyễn Hoàng Ánh</t>
  </si>
  <si>
    <t>Hoàng Hữu Nghĩa</t>
  </si>
  <si>
    <t>Nguyễn Thị Hồng Đào</t>
  </si>
  <si>
    <t>Võ Thành Sơn</t>
  </si>
  <si>
    <t>Ngô Tâm Thuận</t>
  </si>
  <si>
    <t>Nguyễn Hoàng Thi xéo 90 tiền</t>
  </si>
  <si>
    <t>Trần Minh Hoàng nhà may âu bà loan</t>
  </si>
  <si>
    <t>Nguyễn Thu Hà gần anh thạnh LP ghé thu</t>
  </si>
  <si>
    <t>Lê Nguyễn Hồng Nhung vk Phúc VLXD</t>
  </si>
  <si>
    <t>Tống Thị Ngọc Chi</t>
  </si>
  <si>
    <t>Võ Bích Phượng mẹ Huệ</t>
  </si>
  <si>
    <t>Huỳnh Thị Mỹ Quyên heo quay phu duc</t>
  </si>
  <si>
    <t>Phạm Võ Dạ Lý</t>
  </si>
  <si>
    <t>Nguyễn Ngọc Phượng</t>
  </si>
  <si>
    <t>Đặng Hoài Thoại</t>
  </si>
  <si>
    <t>Nguyễn Khắc Anh</t>
  </si>
  <si>
    <t>Phan Thị Đông Hà</t>
  </si>
  <si>
    <t>Bùi Thị Kim Thanh</t>
  </si>
  <si>
    <t>Huỳnh Văn Thắng tiệm kem gần nutipet</t>
  </si>
  <si>
    <t>Đỗ Hữu Quí</t>
  </si>
  <si>
    <t>SĐT</t>
  </si>
  <si>
    <t>Nguyễn Thị Kim Phương</t>
  </si>
  <si>
    <t>Nguyễn Chí Khan</t>
  </si>
  <si>
    <t>Trần Khắc Nhu</t>
  </si>
  <si>
    <t>Lê Nguyễn Hồng Nhung</t>
  </si>
  <si>
    <t>Quan Phước Thành</t>
  </si>
  <si>
    <t>Tên Khách Hàng</t>
  </si>
  <si>
    <t>Nguyễn Hữu Lực</t>
  </si>
  <si>
    <t>Trần Thanh Tuấn CA</t>
  </si>
  <si>
    <t>Trạng Thái</t>
  </si>
  <si>
    <t>Số Tiền Hủy</t>
  </si>
  <si>
    <t>Khưu Quốc Cường CA</t>
  </si>
  <si>
    <t>Ngày Hủy</t>
  </si>
  <si>
    <t>Nguyễn Hoài Linh</t>
  </si>
  <si>
    <t>Hình Thức Nạp</t>
  </si>
  <si>
    <t>Số Tiền</t>
  </si>
  <si>
    <t>Lý do</t>
  </si>
  <si>
    <t>Cho Chạy</t>
  </si>
  <si>
    <t>Hà Thị Ngọc Hà</t>
  </si>
  <si>
    <t>Nạp Hộ</t>
  </si>
  <si>
    <t>Thành công</t>
  </si>
  <si>
    <t>OTP</t>
  </si>
  <si>
    <t>Võ Minh Anh dia ban Ci Nguyet khu kim cuong</t>
  </si>
  <si>
    <t>Trần Ngô Anh Thư</t>
  </si>
  <si>
    <t>Nguyễn Đặng Thanh Hằng heo sẻo đậu</t>
  </si>
  <si>
    <t>Trần Thị Thanh Tâm</t>
  </si>
  <si>
    <t>Phan Phi Sơn</t>
  </si>
  <si>
    <t>Mai Ngọc Phương</t>
  </si>
  <si>
    <t>Nguyễn Kim Thanh</t>
  </si>
  <si>
    <t>Nguyễn Văn Út buncoffe</t>
  </si>
  <si>
    <t>Bùi Thanh Nhân</t>
  </si>
  <si>
    <t>Huỳnh Đặng Văn Minh</t>
  </si>
  <si>
    <t>Trần Quốc Tính</t>
  </si>
  <si>
    <t>Công Ty TNHH MTV Đức Phát Hoàng Gia</t>
  </si>
  <si>
    <t>Nguyễn Thị Thanh Thúy</t>
  </si>
  <si>
    <t>Hộ Kinh Doanh Lạp Xạp</t>
  </si>
  <si>
    <t>Ngày Lên Đơn</t>
  </si>
  <si>
    <t>Đặng Thị Chi Thơm  798093807</t>
  </si>
  <si>
    <t>Số Chấm Lời</t>
  </si>
  <si>
    <t>Nguyễn Hữu Nhân p3 Anh Vũ kiu thu tại nhà</t>
  </si>
  <si>
    <t>Đinh Tấn Hưng chồ bán Lư</t>
  </si>
  <si>
    <t>Nguyễn Hải Hiệp chuồng bò LP</t>
  </si>
  <si>
    <t>Huỳnh Công Trạng ck pháp y</t>
  </si>
  <si>
    <t>Hoàng Lê Trang Đài</t>
  </si>
  <si>
    <t>Nguyễn Đặng Huỳnh Phương Tuyền</t>
  </si>
  <si>
    <t>Sơn Thị Bạch Cúc</t>
  </si>
  <si>
    <t>Nguyễn Thanh Cường</t>
  </si>
  <si>
    <t>Quan Thị Lan Hương</t>
  </si>
  <si>
    <t>Trang yêu cầu hủy</t>
  </si>
  <si>
    <t>Võ Văn Kiệt</t>
  </si>
  <si>
    <t>Nguyễn Kế Vinh</t>
  </si>
  <si>
    <t>x</t>
  </si>
  <si>
    <t>Đã lên đơn</t>
  </si>
  <si>
    <t>Nguyễn Ngọc Tuyết Lan</t>
  </si>
  <si>
    <t>Nguyễn Hoàng Tâm Hạnh wile</t>
  </si>
  <si>
    <t>Nguyễn Phú Quí hẻm anh Thành sửa xe LP</t>
  </si>
  <si>
    <t>Nguyễn Thị Quí VLXD Thành Nhơn</t>
  </si>
  <si>
    <t>Phạm Thị Hồng Gấm công viên mậu thân</t>
  </si>
  <si>
    <t>Huỳnh Xuân Khương</t>
  </si>
  <si>
    <t>Nạp hộ</t>
  </si>
  <si>
    <t>Trần Ánh Ngọc zalo Nguyễn Phước Thiện</t>
  </si>
  <si>
    <t>DS dưới huyện hủy đơn gạch cước</t>
  </si>
  <si>
    <t>Lâm Sơn Hiếu</t>
  </si>
  <si>
    <t>Công Ty Trách Nhiệm Hữu Hạn Lê Kim</t>
  </si>
  <si>
    <t>Nguyễn Thị Quỳnh Anh ban dân tộc</t>
  </si>
  <si>
    <t>Nguyễn Thị Trúc Phương kế út bơm cát</t>
  </si>
  <si>
    <t>Lê Tuấn Phương</t>
  </si>
  <si>
    <t>Châu Thanh Tân</t>
  </si>
  <si>
    <t>Nguyễn Thị Hồng Cúc bãi cọc cầu tân hữu mới</t>
  </si>
  <si>
    <t>Nguyễn Thanh Hải Tuấn sắt p3</t>
  </si>
  <si>
    <t>Trần Minh Vũ nhà xe Huệ</t>
  </si>
  <si>
    <t>Lê Văn Quân hẻm yagami</t>
  </si>
  <si>
    <t>Trần Phương Trang</t>
  </si>
  <si>
    <t>Nguyễn Thị Phẩm</t>
  </si>
  <si>
    <t>Trần Trương Phương Trang biotic</t>
  </si>
  <si>
    <t>Nguyễn Thị ái Vi</t>
  </si>
  <si>
    <t>Trần Hoàng Phúc suối mơ p5</t>
  </si>
  <si>
    <t>Phạm Đồng Thịnh</t>
  </si>
  <si>
    <t>Trần Hồng Thủy</t>
  </si>
  <si>
    <t>Quách Thị Xuân Mỹ</t>
  </si>
  <si>
    <t>Huỳnh Thành Phước</t>
  </si>
  <si>
    <t>HỘ KINH DOANH RIO</t>
  </si>
  <si>
    <t>Trần Hữu Phát</t>
  </si>
  <si>
    <t>Dương Thanh Vinh</t>
  </si>
  <si>
    <t>Nguyễn Phúc Thiện</t>
  </si>
  <si>
    <t>Hải Đăng</t>
  </si>
  <si>
    <t>Nguyễn Minh Hoàng</t>
  </si>
  <si>
    <t>Phạm Phước Đấu</t>
  </si>
  <si>
    <t>Nguyễn Nhựt Lam</t>
  </si>
  <si>
    <t>Lại Diễm Trường</t>
  </si>
  <si>
    <t>Lê Thị Thu Hà</t>
  </si>
  <si>
    <t>Nguyễn Kim Quang</t>
  </si>
  <si>
    <t>Mai Phẩm Chất</t>
  </si>
  <si>
    <t>Phan Thị Như Thúy</t>
  </si>
  <si>
    <t>Phạm Thanh Việt</t>
  </si>
  <si>
    <t>Trần Thị Thanh Thảo</t>
  </si>
  <si>
    <t>Đặng Thanh Phong</t>
  </si>
  <si>
    <t>Lê Tuấn Kiệt</t>
  </si>
  <si>
    <t>Lương Văn Chung</t>
  </si>
  <si>
    <t>Lương Xuân Lưu</t>
  </si>
  <si>
    <t>Phan Thanh Thúy</t>
  </si>
  <si>
    <t>Nguyễn Thanh Phượng</t>
  </si>
  <si>
    <t>Nguyễn Vũ Ngọc Hạnh</t>
  </si>
  <si>
    <t>Nguyễn Vũ Thanh Sơn</t>
  </si>
  <si>
    <t>Trần Thị Ngọc Nhung</t>
  </si>
  <si>
    <t>Từ Thục Mẫn</t>
  </si>
  <si>
    <t>Nguyễn Thị Kim Liên</t>
  </si>
  <si>
    <t>Huỳnh Thanh Liêm</t>
  </si>
  <si>
    <t>HKD Cơ Sở Nhôm Cao Cấp Tiến Phát</t>
  </si>
  <si>
    <t>Nguyễn Phúc Duy</t>
  </si>
  <si>
    <t>xx</t>
  </si>
  <si>
    <t>Nguyễn Thị Cẩm Hường</t>
  </si>
  <si>
    <t>Trần Thị Ngọc Hạnh</t>
  </si>
  <si>
    <t>Trần Thị Thùy Trang</t>
  </si>
  <si>
    <t>Nguyễn Hữu Hạnh</t>
  </si>
  <si>
    <t>Huỳnh Thanh Vũ</t>
  </si>
  <si>
    <t>Nguyễn Thy Phượng</t>
  </si>
  <si>
    <t>Thế đơn cho Nguyễn Xuân Thu</t>
  </si>
  <si>
    <t>Nguyễn Thị ái Phương</t>
  </si>
  <si>
    <t>Nguyễn Văn Bạch</t>
  </si>
  <si>
    <t>Võ Hoàng Phương Thư</t>
  </si>
  <si>
    <t>Đặng Thị Mai</t>
  </si>
  <si>
    <t>DNTN Như Thùy Linh</t>
  </si>
  <si>
    <t>Thái Phước Khánh Vân</t>
  </si>
  <si>
    <t>Nguyễn Đức Lợi</t>
  </si>
  <si>
    <t>Huỳnh Tái Liễu</t>
  </si>
  <si>
    <t>Lâm Phương Thúy</t>
  </si>
  <si>
    <t>HKD BUN AQUA COFFEE</t>
  </si>
  <si>
    <t>Cao Minh Hùng</t>
  </si>
  <si>
    <t>Thái Thị Nô</t>
  </si>
  <si>
    <t>Nguyễn Hồng Diệu</t>
  </si>
  <si>
    <t>Ngô Đặng Tuấn Nghiêm</t>
  </si>
  <si>
    <t>Nguyễn Hồng Phát</t>
  </si>
  <si>
    <t>BÙI QUỐC HUY</t>
  </si>
  <si>
    <t>Bùi Duy Liệu</t>
  </si>
  <si>
    <t>Đào Nguyễn Dũng</t>
  </si>
  <si>
    <t>Nguyễn Đại Sơn</t>
  </si>
  <si>
    <t>Nguyễn Trần Phước Thịnh</t>
  </si>
  <si>
    <t>Lê Thị Phương Thúy</t>
  </si>
  <si>
    <t>xxx</t>
  </si>
  <si>
    <t>Ngô Hồng Diệp</t>
  </si>
  <si>
    <t>Nguyễn Văn Bé Tư</t>
  </si>
  <si>
    <t>Trương Văn Hân</t>
  </si>
  <si>
    <t>Nguyễn Thị Thanh Đào</t>
  </si>
  <si>
    <t>Nguyễn Phát Huy</t>
  </si>
  <si>
    <t>Đặng Thị Minh Giang</t>
  </si>
  <si>
    <t>Ngô Chí Thanh</t>
  </si>
  <si>
    <t>Phan Phương Hiền</t>
  </si>
  <si>
    <t>Nguyễn Thị Cẩm Lệ Hằng</t>
  </si>
  <si>
    <t>Đỗ Thị Bích Huệ</t>
  </si>
  <si>
    <t>Nguyễn Bích Dung</t>
  </si>
  <si>
    <t>Phan Thị Tô Vy</t>
  </si>
  <si>
    <t>Tô Hải Vân</t>
  </si>
  <si>
    <t>Trần Thị Thanh Nghĩa</t>
  </si>
  <si>
    <t>Nguyễn Thị Thùy Loan</t>
  </si>
  <si>
    <t>Phạm Thị Mỹ Ái</t>
  </si>
  <si>
    <t>Phan Văn Thu</t>
  </si>
  <si>
    <t>Đinh Hoàng Vĩnh</t>
  </si>
  <si>
    <t>Nguyễn Công Hiếu</t>
  </si>
  <si>
    <t>xxxx</t>
  </si>
  <si>
    <t>Nguyễn Xuân Chuyên</t>
  </si>
  <si>
    <t>Nguyễn Hoàng Châu</t>
  </si>
  <si>
    <t>Nguyễn Kim Thảo</t>
  </si>
  <si>
    <t>Bùi Thị Lan Hương</t>
  </si>
  <si>
    <t>Châu Hoàng Vĩnh Bảo</t>
  </si>
  <si>
    <t>Đặng Quốc Khánh</t>
  </si>
  <si>
    <t>Đinh Thị Trâm Anh</t>
  </si>
  <si>
    <t>Hộ Kinh Doanh RIO</t>
  </si>
  <si>
    <t>Huỳnh Minh Tuấn</t>
  </si>
  <si>
    <t>Lê Quang Minh</t>
  </si>
  <si>
    <t>Lê Thanh Huệ</t>
  </si>
  <si>
    <t>Nguyễn Ngọc Hương</t>
  </si>
  <si>
    <t>Nguyễn Thị Thu Nguyệt</t>
  </si>
  <si>
    <t>Lữ Ngọc Thảo</t>
  </si>
  <si>
    <t>Lưu Thị Yến Nhi</t>
  </si>
  <si>
    <t>Lê Thái Nguyên</t>
  </si>
  <si>
    <t>Mạc Thu Thủy</t>
  </si>
  <si>
    <t>Ngô Hoàng Hội</t>
  </si>
  <si>
    <t>Nguyễn Biện Diễm Phúc</t>
  </si>
  <si>
    <t>Nguyễn Hồng Xuân</t>
  </si>
  <si>
    <t>Nguyễn Kim Liên</t>
  </si>
  <si>
    <t>Nguyễn Minh Trí</t>
  </si>
  <si>
    <t>Nguyễn Ngọc Bình</t>
  </si>
  <si>
    <t>Nguyễn Thái An</t>
  </si>
  <si>
    <t>Nguyễn Thanh Tâm</t>
  </si>
  <si>
    <t>Nguyễn Thị Giang</t>
  </si>
  <si>
    <t>Nguyễn Thị Thanh Nhã</t>
  </si>
  <si>
    <t>Nguyễn Thị Thì Linh</t>
  </si>
  <si>
    <t>Nguyễn Thị Xuân Liễu</t>
  </si>
  <si>
    <t>NGUYỄN VĂN HOÀN</t>
  </si>
  <si>
    <t>Nguyễn Văn Tiền</t>
  </si>
  <si>
    <t>Nguyễn Viên Khoa</t>
  </si>
  <si>
    <t>Lê Thúy Phượng</t>
  </si>
  <si>
    <t>Nguyễn Xuân Thu</t>
  </si>
  <si>
    <t>Phan Thủy Tiên</t>
  </si>
  <si>
    <t>Thiệu Hoàng Thái Bình</t>
  </si>
  <si>
    <t>Nguyễn Thị Mộng Ngọc</t>
  </si>
  <si>
    <t>Phan Minh Cường</t>
  </si>
  <si>
    <t>Võ Ngọc Tuấn</t>
  </si>
  <si>
    <t>Nguyễn Thị Bích Thủy</t>
  </si>
  <si>
    <t>Mai Anh Vũ</t>
  </si>
  <si>
    <t>Nguyễn Anh Tú</t>
  </si>
  <si>
    <t>Chu Thị Lan</t>
  </si>
  <si>
    <t>Huỳnh Trần Minh Tiến</t>
  </si>
  <si>
    <t>Lê Văn Lý</t>
  </si>
  <si>
    <t>Nguyễn Hiếu Hiển</t>
  </si>
  <si>
    <t>Đoàn Quang Khải</t>
  </si>
  <si>
    <t>Trần Minh Đức</t>
  </si>
  <si>
    <t>Trương Khôi Nguyên</t>
  </si>
  <si>
    <t>Võ Anh Hoàng</t>
  </si>
  <si>
    <t>Võ Thị Bích Liên</t>
  </si>
  <si>
    <t>Hồ Minh Nhựt</t>
  </si>
  <si>
    <t>Lê Ngọc Yến</t>
  </si>
  <si>
    <t>Lê Si MuômL</t>
  </si>
  <si>
    <t>Nguyễn Phước Thành</t>
  </si>
  <si>
    <t>Võ Thanh Hiền</t>
  </si>
  <si>
    <t>VÕ ĐỨC PHƯƠNG</t>
  </si>
  <si>
    <t>Võ Đức Phương</t>
  </si>
  <si>
    <t>Trần Thị Dung</t>
  </si>
  <si>
    <t>Lê Thị Thu Trang</t>
  </si>
  <si>
    <t>Trần Quốc Đạt</t>
  </si>
  <si>
    <t>Trần Công Bằng</t>
  </si>
  <si>
    <t>Trần Văn Tư Lai</t>
  </si>
  <si>
    <t>Phạm Quang Vĩnh</t>
  </si>
  <si>
    <t>NGUYỄN VĂN THIỆN</t>
  </si>
  <si>
    <t>xxxxx</t>
  </si>
  <si>
    <t>Tiêu Anh Thư</t>
  </si>
  <si>
    <t>Lê Tuấn Vương</t>
  </si>
  <si>
    <t>Trịnh Văn Được</t>
  </si>
  <si>
    <t>HKD Hoàng Vũ</t>
  </si>
  <si>
    <t>Tăng Văn Mến</t>
  </si>
  <si>
    <t>Trần Thành Tuấn</t>
  </si>
  <si>
    <t>Lê Hoàng Phong</t>
  </si>
  <si>
    <t>Nguyễn Nhật Quang</t>
  </si>
  <si>
    <t>Huỳnh Quốc Anh</t>
  </si>
  <si>
    <t>Lê Văn Hiếu</t>
  </si>
  <si>
    <t>Nguyễn Thanh Hiếu</t>
  </si>
  <si>
    <t>Võ Quốc Khải</t>
  </si>
  <si>
    <t>Đặng Hoàng Tuấn</t>
  </si>
  <si>
    <t>Nguyễn Hữu Duy</t>
  </si>
  <si>
    <t>Nguyễn Quốc Anh</t>
  </si>
  <si>
    <t>Ngọc Châu</t>
  </si>
  <si>
    <t>Trần Văn Leo</t>
  </si>
  <si>
    <t>Đỗ Phương Quang</t>
  </si>
  <si>
    <t>Nguyễn Hữu Vũ</t>
  </si>
  <si>
    <t>Dương Thái Châu</t>
  </si>
  <si>
    <t>Lê Thị Hồng Sang</t>
  </si>
  <si>
    <t>Thái Bình Dương</t>
  </si>
  <si>
    <t>Nguyễn Hồ Nhật Quang</t>
  </si>
  <si>
    <t>Nguyễn Khắc Dzu</t>
  </si>
  <si>
    <t>Nguyễn Hoàng Nhật</t>
  </si>
  <si>
    <t>HUỲNH THỊ NGỌC ĐIỆP</t>
  </si>
  <si>
    <t>Ngô Tấn Gẩm</t>
  </si>
  <si>
    <t>Trần Anh Dũ</t>
  </si>
  <si>
    <t>Trần Thanh Hải</t>
  </si>
  <si>
    <t>Trần Thế Cường</t>
  </si>
  <si>
    <t>Nguyễn Ngọc Phúc</t>
  </si>
  <si>
    <t>Bùi Xuân Vinh</t>
  </si>
  <si>
    <t>Cửa Hàng Nông Ngư Cơ Vạn Phước Vinh</t>
  </si>
  <si>
    <t>Trần Thị Cẩm Tú</t>
  </si>
  <si>
    <t>Lê Tấn Đức</t>
  </si>
  <si>
    <t>Đặng Quốc Trầm sắt LP</t>
  </si>
  <si>
    <t>Nguyễn Minh Huy</t>
  </si>
  <si>
    <t>Châu Thị Nhật Xuân</t>
  </si>
  <si>
    <t>Huỳnh Long Hiền</t>
  </si>
  <si>
    <t>Lê Long Toàn</t>
  </si>
  <si>
    <t>Nguyễn Quốc Minh</t>
  </si>
  <si>
    <t>Nguyễn Thị Bạch Mai</t>
  </si>
  <si>
    <t>Phạm Thị Thu Hà</t>
  </si>
  <si>
    <t>Võ Minh Tài</t>
  </si>
  <si>
    <t>Nguyễn Minh Khoa</t>
  </si>
  <si>
    <t>Nguyễn Thị Mỹ Ngọc</t>
  </si>
  <si>
    <t>Nguyễn Thị Thu Hiền</t>
  </si>
  <si>
    <t>Trần Ngọc Trâm Anh</t>
  </si>
  <si>
    <t>Trần Lương Sinh</t>
  </si>
  <si>
    <t>Lư Thị Thu Thuỷ</t>
  </si>
  <si>
    <t>Nguyễn Nhật Phương</t>
  </si>
  <si>
    <t>Trần Thị Mộng Cầm</t>
  </si>
  <si>
    <t>Trần Thị Mỹ Cầm</t>
  </si>
  <si>
    <t>Nguyễn Võ Huyền Trang</t>
  </si>
  <si>
    <t>Nguyễn Thành Công</t>
  </si>
  <si>
    <t>xxxxxx</t>
  </si>
  <si>
    <t>Trần Thị Thuận</t>
  </si>
  <si>
    <t>HKD Nguyễn Trung Hiếu</t>
  </si>
  <si>
    <t>Dương Tuyết Trang</t>
  </si>
  <si>
    <t>Nguyễn Thị Bé Thảo Em</t>
  </si>
  <si>
    <t>Trần Ngọc Khang</t>
  </si>
  <si>
    <t>Phan Văn Tưởng</t>
  </si>
  <si>
    <t>Nguyễn Văn Trường</t>
  </si>
  <si>
    <t>Nguyễn Thị Cẩm Vân</t>
  </si>
  <si>
    <t>Nguyễn Ngọc Cường</t>
  </si>
  <si>
    <t>Dương Anh Tuấn</t>
  </si>
  <si>
    <t>Trần Thị Anh Minh</t>
  </si>
  <si>
    <t>Nguyễn Thị Hồng Hạnh</t>
  </si>
  <si>
    <t>Lê Thị Thùy Trang</t>
  </si>
  <si>
    <t>Nguyễn Ngọc Quốc Vương</t>
  </si>
  <si>
    <t>Nguyễn Thị Đan Thanh</t>
  </si>
  <si>
    <t>Phạm Văn Hậu</t>
  </si>
  <si>
    <t>Võ Nguyễn Trọng Nghĩa</t>
  </si>
  <si>
    <t>Võ Thị Bích Tuyền</t>
  </si>
  <si>
    <t>Huỳnh Thị Hoàng Yến</t>
  </si>
  <si>
    <t>Trương Tuấn Thành</t>
  </si>
  <si>
    <t>Lê Thanh Dũng</t>
  </si>
  <si>
    <t>thanh chợ agri</t>
  </si>
  <si>
    <t>Huỳnh Như Ngọc</t>
  </si>
  <si>
    <t>Lê Thanh Phùng</t>
  </si>
  <si>
    <t>Đặng Ngọc Quang Danh</t>
  </si>
  <si>
    <t>Nguyễn Thanh Thuận</t>
  </si>
  <si>
    <t>Thái Nguyễn Minh Khải</t>
  </si>
  <si>
    <t>Biện Kim Thủy</t>
  </si>
  <si>
    <t>Cao Trường Tồn</t>
  </si>
  <si>
    <t>Nguyễn Thị Bé Chiều</t>
  </si>
  <si>
    <t>Lê Minh Tiến</t>
  </si>
  <si>
    <t>Nguyễn Văn Tài</t>
  </si>
  <si>
    <t>Trương Lê Gia Thịnh</t>
  </si>
  <si>
    <t>Mai Bích Liên</t>
  </si>
  <si>
    <t>Châu Thạch Đời</t>
  </si>
  <si>
    <t>Huỳnh Anh Tuấn</t>
  </si>
  <si>
    <t>Huỳnh Hữu Quang</t>
  </si>
  <si>
    <t>Huỳnh Ngọc Thủy Tiên</t>
  </si>
  <si>
    <t>Huỳnh Văn Viển</t>
  </si>
  <si>
    <t>Khưu Thanh Hưng</t>
  </si>
  <si>
    <t>Lê Hoàng Dũng</t>
  </si>
  <si>
    <t>Lê Hoàng Việt</t>
  </si>
  <si>
    <t>Lê Thanh Hên</t>
  </si>
  <si>
    <t>Ngô Công Bằng</t>
  </si>
  <si>
    <t>Ngô Hồng Duẫn</t>
  </si>
  <si>
    <t>Nguyễn Hữu Lộc</t>
  </si>
  <si>
    <t>Nguyễn Lê Bình</t>
  </si>
  <si>
    <t>Dương Thành Phước</t>
  </si>
  <si>
    <t>Nguyễn Mai Thị Phương Dung</t>
  </si>
  <si>
    <t>NGUYỄN MINH TÂM</t>
  </si>
  <si>
    <t>Nguyễn Phú Quốc</t>
  </si>
  <si>
    <t>Nguyễn Thanh Hải</t>
  </si>
  <si>
    <t>Nguyễn Thanh Tuấn</t>
  </si>
  <si>
    <t>Nguyễn Thanh Tuyền</t>
  </si>
  <si>
    <t>Nguyễn Lý Ngân Kim</t>
  </si>
  <si>
    <t>Nguyễn Thị Mỹ Ly</t>
  </si>
  <si>
    <t>Nguyễn Thị Mỹ Phượng</t>
  </si>
  <si>
    <t>Nguyễn Thị Ngọc Hà</t>
  </si>
  <si>
    <t>Nguyễn Thị Ngọc Lyl</t>
  </si>
  <si>
    <t>Nguyễn Trọng Hiếu</t>
  </si>
  <si>
    <t>Nguyễn Trọng Nhân</t>
  </si>
  <si>
    <t>Nguyễn Tuyết My</t>
  </si>
  <si>
    <t>Nguyễn Văn Trường</t>
  </si>
  <si>
    <t>Lê Thị Kim Thoa</t>
  </si>
  <si>
    <t>Trần Kim Hiệp</t>
  </si>
  <si>
    <t>xxxxxxx</t>
  </si>
  <si>
    <t>Trần Phước Thọ</t>
  </si>
  <si>
    <t>Trần Quang Dũng</t>
  </si>
  <si>
    <t>Trần Thị Ngọc Trang</t>
  </si>
  <si>
    <t>Trần Xuân Đông Pha</t>
  </si>
  <si>
    <t>Trương Minh Anh</t>
  </si>
  <si>
    <t>Võ Thị Như Trang</t>
  </si>
  <si>
    <t>Vương Thùy Ngân</t>
  </si>
  <si>
    <t>Châu Hoàng Duy</t>
  </si>
  <si>
    <t>Châu Mai Tuấn Cường</t>
  </si>
  <si>
    <t>Nguyễn Hoàng Giang</t>
  </si>
  <si>
    <t>Đào Kim Loan</t>
  </si>
  <si>
    <t>Đào Thị Yến Nhi</t>
  </si>
  <si>
    <t>9.07E+08</t>
  </si>
  <si>
    <t>Hồng Tấn Thành</t>
  </si>
  <si>
    <t>Huỳnh Thanh Phong</t>
  </si>
  <si>
    <t>Lê Phát Đạt</t>
  </si>
  <si>
    <t>Lê Văn Đông</t>
  </si>
  <si>
    <t>Nghiêm Tuấn Khải</t>
  </si>
  <si>
    <t>Nguyễn Công Thức</t>
  </si>
  <si>
    <t>Nguyễn Đặng Quang Vinh</t>
  </si>
  <si>
    <t>Nguyễn Ngọc Đức</t>
  </si>
  <si>
    <t>Nguyễn Thanh Dũng</t>
  </si>
  <si>
    <t>Nguyễn Văn Thanh Dũng</t>
  </si>
  <si>
    <t>Nguyễn Thị Thùy Trang</t>
  </si>
  <si>
    <t>Phạm Chí Thuận</t>
  </si>
  <si>
    <t>Phạm Hoàng Sơn</t>
  </si>
  <si>
    <t>HỘI ĐỒNG NHÂN DÂN XÃ LONG PHƯỚC</t>
  </si>
  <si>
    <t>Nguyễn Thanh Tú</t>
  </si>
  <si>
    <t>Huỳnh Quốc Minh</t>
  </si>
  <si>
    <t>Lê Thu Thuỷ</t>
  </si>
  <si>
    <t>Phạm Thanh Hùng</t>
  </si>
  <si>
    <t>Phạm Trung Nghĩa</t>
  </si>
  <si>
    <t>Phạm Văn Nhăm</t>
  </si>
  <si>
    <t>Trần Quốc Cường</t>
  </si>
  <si>
    <t>Trần Tấn Bình</t>
  </si>
  <si>
    <t>Trương Thị Thu Tư</t>
  </si>
  <si>
    <t>Võ Trường Giang</t>
  </si>
  <si>
    <t>Đặng Thị Ánh Tuyết</t>
  </si>
  <si>
    <t>Hộ Kinh Doanh Phong Sương</t>
  </si>
  <si>
    <t>Nguyễn Thanh Phong</t>
  </si>
  <si>
    <t>Huỳnh Thị Ngọc Trân</t>
  </si>
  <si>
    <t>Lê Trung Tín</t>
  </si>
  <si>
    <t>Nguyễn Thị Tuyết</t>
  </si>
  <si>
    <t>Lẹ Đào</t>
  </si>
  <si>
    <t>Trần Quốc Trung</t>
  </si>
  <si>
    <t>Võ Văn Xuân</t>
  </si>
  <si>
    <t>Huỳnh Thanh Sơn</t>
  </si>
  <si>
    <t>Trần Kim Ân</t>
  </si>
  <si>
    <t>Trần Quốc Tuấn</t>
  </si>
  <si>
    <t>Trần Thanh Tân</t>
  </si>
  <si>
    <t>Phạm Việt Tiến</t>
  </si>
  <si>
    <t>Trương Phú Tài</t>
  </si>
  <si>
    <t>Nguyễn Thị Mỹ Hạnh</t>
  </si>
  <si>
    <t>Đặng Văn Nghiệm Em</t>
  </si>
  <si>
    <t>Trần Huy Đức</t>
  </si>
  <si>
    <t>Trần Ngọc Khiêm</t>
  </si>
  <si>
    <t>Trần Tuấn Khanh</t>
  </si>
  <si>
    <t>Nguyễn Quang Trường</t>
  </si>
  <si>
    <t>Nguyễn Thị Nguyệt</t>
  </si>
  <si>
    <t>Huỳnh Tuấn Kiệt</t>
  </si>
  <si>
    <t>Võ Hoàng Sơn</t>
  </si>
  <si>
    <t>Trang yêu cầu hủy do lên đơn trùng bên nạp hộ</t>
  </si>
  <si>
    <t>Phạm Hoàng Linh</t>
  </si>
  <si>
    <t>Liem UBP3</t>
  </si>
  <si>
    <t>Phạm Văn Dành</t>
  </si>
  <si>
    <t>Nguyễn Chí Trung</t>
  </si>
  <si>
    <t>Hủy đơn gạch Mgo</t>
  </si>
  <si>
    <t>Phan Phạm Ngọc Trân</t>
  </si>
  <si>
    <t>Lâm Duyên</t>
  </si>
  <si>
    <t>Đoàn Minh Tùng</t>
  </si>
  <si>
    <t>Nguyễn Hữu Trí</t>
  </si>
  <si>
    <t>Phan Thị Thùy Dung</t>
  </si>
  <si>
    <t>Đặng Thanh Thùy</t>
  </si>
  <si>
    <t>Đoàn Thị Phương Yến</t>
  </si>
  <si>
    <t>Thuê bao phải hoạt động 2 chiều tại thời điểm sử dụng tính năng.</t>
  </si>
  <si>
    <t>Huỳnh Ngọc Dung</t>
  </si>
  <si>
    <t>Lê Huỳnh Tiên</t>
  </si>
  <si>
    <t>Nguyễn Tuấn Tài</t>
  </si>
  <si>
    <t>Nguyễn Đặng Thiên Trang</t>
  </si>
  <si>
    <t>Trang yêu cầu hủy nạp MOMO còn 250K vẫn chạy web bình thường</t>
  </si>
  <si>
    <t>Ngô Minh Nghĩa</t>
  </si>
  <si>
    <t>Lê Văn Thọ</t>
  </si>
  <si>
    <t>Gin thể dục</t>
  </si>
  <si>
    <t>Trang yêu cầu hủy gạch MGO</t>
  </si>
  <si>
    <t>Nguyễn Thị Minh Trang</t>
  </si>
  <si>
    <t>Lê Thị Thu Thủy</t>
  </si>
  <si>
    <t>Châu Vĩnh Toàn</t>
  </si>
  <si>
    <t>Nguyễn Văn Thén</t>
  </si>
  <si>
    <t>Lâm Thị Phương Thúy</t>
  </si>
  <si>
    <t>Lâm Tấn Thành</t>
  </si>
  <si>
    <t>Cù Hữu Toàn</t>
  </si>
  <si>
    <t>Phan Thành Long</t>
  </si>
  <si>
    <t>Nguyễn Tấn Lực</t>
  </si>
  <si>
    <t>Lâm Thị Phương Thuỷ</t>
  </si>
  <si>
    <t>Đặng Hoàng Sơn</t>
  </si>
  <si>
    <t>Nguyễn Thị Kim Ngân Mật ong LP</t>
  </si>
  <si>
    <t>Lê Thanh Điền</t>
  </si>
  <si>
    <t>Lạc Minh Thư</t>
  </si>
  <si>
    <t>Tạ Ánh Nguyệt</t>
  </si>
  <si>
    <t>Trang yêu cầu hủy gạch Mobipay</t>
  </si>
  <si>
    <t>Huỷ gạch cước web đi dc 100k</t>
  </si>
  <si>
    <t>Phần này chưa lên đơn</t>
  </si>
  <si>
    <t>Hủy đơn do KH không đóng tiền</t>
  </si>
  <si>
    <t>Huỷ đơn do KH đã thanh toán</t>
  </si>
  <si>
    <t>Huỷ đơn do Trang yêu cầu</t>
  </si>
  <si>
    <t>Huỷ đơn gom đơn tháng sau</t>
  </si>
  <si>
    <t>Huỷ đơn do gạch Mgo</t>
  </si>
  <si>
    <t>Chuyển mobipay</t>
  </si>
  <si>
    <t>KH không đóng phí</t>
  </si>
  <si>
    <t>Trang yêu cầu huỷ</t>
  </si>
  <si>
    <t>Đã chuyển trả trước</t>
  </si>
  <si>
    <t>Huỷ gạch Mobipay</t>
  </si>
  <si>
    <t>Khách chuyển trả trước</t>
  </si>
  <si>
    <t>Gạch MGO</t>
  </si>
  <si>
    <t>Thuê bao bị khóa</t>
  </si>
  <si>
    <t>Chuyển Mobipay vì lời 3 chấm</t>
  </si>
  <si>
    <t>Thuê bao của Bạn quý khách phải hoạt động 2 chiều tại thời điểm sử dụng tính năng</t>
  </si>
  <si>
    <t>KH thanh toán rồi</t>
  </si>
  <si>
    <t>Gạch cước ko lấy dc OTP</t>
  </si>
  <si>
    <t>Hết thẻ tháng này gạch cước dùm tui</t>
  </si>
  <si>
    <t>Chuyển Mobipay</t>
  </si>
  <si>
    <t>Lên đơn dư 150k</t>
  </si>
  <si>
    <t>Chuyển trả trước</t>
  </si>
  <si>
    <t>Hệ thống tự hủy</t>
  </si>
  <si>
    <t>Khách hàng tự thanh toán</t>
  </si>
  <si>
    <t>Gạch Mgo rồi</t>
  </si>
  <si>
    <t>Hủy gạch MGO</t>
  </si>
  <si>
    <t>Quá hạn</t>
  </si>
  <si>
    <t>KH nạp tiền</t>
  </si>
  <si>
    <t>Web mới chạy được 290k hết thẻ tháng</t>
  </si>
  <si>
    <t>Đơn này 7/5 cho đi</t>
  </si>
  <si>
    <t>Đơn OTP qua tháng bị rớt</t>
  </si>
  <si>
    <t>Đơn OTP</t>
  </si>
  <si>
    <t>Check lại</t>
  </si>
  <si>
    <t>Đã chạy</t>
  </si>
  <si>
    <t>Số này bên đơn OTP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</si>
</sst>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yy"/>
  </numFmts>
  <fonts count="55">
    <font>
      <sz val="10"/>
      <color rgb="FF000000"/>
      <name val="Arial"/>
      <scheme val="minor"/>
    </font>
    <font>
      <sz val="15"/>
      <color theme="1"/>
      <name val="&quot;Times New Roman&quot;"/>
    </font>
    <font>
      <sz val="11"/>
      <color rgb="FFFF0000"/>
      <name val="&quot;Arial Narrow&quot;"/>
    </font>
    <font>
      <sz val="15"/>
      <color rgb="FFFF0000"/>
      <name val="Calibri"/>
    </font>
    <font>
      <b/>
      <sz val="15"/>
      <color theme="1"/>
      <name val="Calibri"/>
    </font>
    <font>
      <b/>
      <sz val="20"/>
      <color rgb="FFFF0000"/>
      <name val="Arial"/>
      <scheme val="minor"/>
    </font>
    <font>
      <sz val="10"/>
      <name val="Arial"/>
    </font>
    <font>
      <b/>
      <sz val="15"/>
      <color rgb="FF00CC00"/>
      <name val="Calibri"/>
    </font>
    <font>
      <b/>
      <sz val="15"/>
      <color theme="1"/>
      <name val="&quot;Times New Roman&quot;"/>
    </font>
    <font>
      <b/>
      <sz val="13"/>
      <color theme="1"/>
      <name val="Arial"/>
      <scheme val="minor"/>
    </font>
    <font>
      <sz val="9"/>
      <color rgb="FF000000"/>
      <name val="&quot;Google Sans Mono&quot;"/>
    </font>
    <font>
      <b/>
      <sz val="18"/>
      <color rgb="FFFF0000"/>
      <name val="Arial"/>
      <scheme val="minor"/>
    </font>
    <font>
      <sz val="10"/>
      <color theme="1"/>
      <name val="Arial"/>
      <scheme val="minor"/>
    </font>
    <font>
      <b/>
      <sz val="10"/>
      <color rgb="FFFF0000"/>
      <name val="Arial"/>
      <scheme val="minor"/>
    </font>
    <font>
      <sz val="15"/>
      <color rgb="FF00FF00"/>
      <name val="&quot;Arial Narrow&quot;"/>
    </font>
    <font>
      <b/>
      <sz val="11"/>
      <color theme="1"/>
      <name val="&quot;Arial Narrow&quot;"/>
    </font>
    <font>
      <b/>
      <sz val="11"/>
      <color rgb="FF000000"/>
      <name val="Calibri"/>
    </font>
    <font>
      <b/>
      <sz val="15"/>
      <color rgb="FF000000"/>
      <name val="&quot;Times New Roman&quot;"/>
    </font>
    <font>
      <b/>
      <sz val="11"/>
      <color theme="1"/>
      <name val="Arial"/>
      <scheme val="minor"/>
    </font>
    <font>
      <sz val="15"/>
      <color rgb="FF000000"/>
      <name val="&quot;Times New Roman&quot;"/>
    </font>
    <font>
      <sz val="11"/>
      <color rgb="FF000000"/>
      <name val="Calibri"/>
    </font>
    <font>
      <sz val="15"/>
      <color theme="1"/>
      <name val="Arial"/>
    </font>
    <font>
      <b/>
      <sz val="15"/>
      <color rgb="FF00CC00"/>
      <name val="&quot;Arial Narrow&quot;"/>
    </font>
    <font>
      <sz val="15"/>
      <color theme="1"/>
      <name val="Calibri"/>
    </font>
    <font>
      <b/>
      <sz val="11"/>
      <color theme="1"/>
      <name val="Calibri"/>
    </font>
    <font>
      <b/>
      <sz val="11"/>
      <color rgb="FF00CC00"/>
      <name val="Calibri"/>
    </font>
    <font>
      <sz val="11"/>
      <color rgb="FF00CC00"/>
      <name val="&quot;Arial Narrow&quot;"/>
    </font>
    <font>
      <sz val="15"/>
      <color rgb="FF00CC00"/>
      <name val="&quot;Arial Narrow&quot;"/>
    </font>
    <font>
      <sz val="11"/>
      <color rgb="FFFF0000"/>
      <name val="Calibri"/>
    </font>
    <font>
      <sz val="11"/>
      <color theme="1"/>
      <name val="Calibri"/>
    </font>
    <font>
      <b/>
      <sz val="11"/>
      <color rgb="FF00FF00"/>
      <name val="Calibri"/>
    </font>
    <font>
      <sz val="15"/>
      <color theme="1"/>
      <name val="&quot;Arial Narrow&quot;"/>
    </font>
    <font>
      <sz val="11"/>
      <color theme="1"/>
      <name val="&quot;Arial Narrow&quot;"/>
    </font>
    <font>
      <b/>
      <sz val="11"/>
      <color rgb="FFFF0000"/>
      <name val="&quot;Arial Narrow&quot;"/>
    </font>
    <font>
      <sz val="13"/>
      <color theme="1"/>
      <name val="&quot;Arial Narrow&quot;"/>
    </font>
    <font>
      <sz val="15"/>
      <color rgb="FFFF0000"/>
      <name val="&quot;Times New Roman&quot;"/>
    </font>
    <font>
      <sz val="11"/>
      <color rgb="FF963634"/>
      <name val="&quot;Arial Narrow&quot;"/>
    </font>
    <font>
      <sz val="11"/>
      <color rgb="FF963634"/>
      <name val="Calibri"/>
    </font>
    <font>
      <b/>
      <sz val="15"/>
      <color theme="1"/>
      <name val="&quot;Arial Narrow&quot;"/>
    </font>
    <font>
      <sz val="11"/>
      <color theme="1"/>
      <name val="&quot;Times New Roman&quot;"/>
    </font>
    <font>
      <sz val="11"/>
      <color rgb="FF00CC00"/>
      <name val="Calibri"/>
    </font>
    <font>
      <b/>
      <sz val="15"/>
      <color rgb="FFFF0000"/>
      <name val="&quot;Times New Roman&quot;"/>
    </font>
    <font>
      <sz val="17"/>
      <color theme="1"/>
      <name val="&quot;Arial Narrow&quot;"/>
    </font>
    <font>
      <sz val="17"/>
      <color theme="1"/>
      <name val="Arial"/>
    </font>
    <font>
      <sz val="17"/>
      <color theme="1"/>
      <name val="Calibri"/>
    </font>
    <font>
      <sz val="17"/>
      <color rgb="FF000000"/>
      <name val="Calibri"/>
    </font>
    <font>
      <b/>
      <sz val="16"/>
      <color rgb="FFFF0000"/>
      <name val="Arial"/>
      <scheme val="minor"/>
    </font>
    <font>
      <sz val="11"/>
      <color theme="1"/>
      <name val="Arial"/>
      <scheme val="minor"/>
    </font>
    <font>
      <sz val="10"/>
      <color rgb="FF666666"/>
      <name val="Arial"/>
      <scheme val="minor"/>
    </font>
    <font>
      <sz val="11"/>
      <color rgb="FF2F2D2D"/>
      <name val="&quot;SanFrancisco Regular&quot;"/>
    </font>
    <font>
      <b/>
      <sz val="13"/>
      <color rgb="FFFF0000"/>
      <name val="Arial"/>
      <scheme val="minor"/>
    </font>
    <font>
      <b/>
      <sz val="11"/>
      <color rgb="FFFF0000"/>
      <name val="Arial"/>
      <scheme val="minor"/>
    </font>
    <font>
      <sz val="10"/>
      <color rgb="FFFF0000"/>
      <name val="Arial"/>
      <scheme val="minor"/>
    </font>
    <font>
      <b/>
      <sz val="11"/>
      <color rgb="FF000000"/>
      <name val="Arial"/>
      <scheme val="minor"/>
    </font>
    <font>
      <b/>
      <sz val="14"/>
      <color theme="1"/>
      <name val="Arial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1" xfId="0" applyFont="1" applyBorder="1"/>
    <xf numFmtId="0" fontId="10" fillId="2" borderId="0" xfId="0" applyFont="1" applyFill="1"/>
    <xf numFmtId="0" fontId="12" fillId="0" borderId="0" xfId="0" applyFont="1"/>
    <xf numFmtId="0" fontId="13" fillId="3" borderId="1" xfId="0" applyFont="1" applyFill="1" applyBorder="1" applyAlignment="1">
      <alignment horizontal="center"/>
    </xf>
    <xf numFmtId="0" fontId="9" fillId="4" borderId="1" xfId="0" applyFont="1" applyFill="1" applyBorder="1"/>
    <xf numFmtId="0" fontId="14" fillId="0" borderId="2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2" fillId="0" borderId="1" xfId="0" applyFont="1" applyBorder="1"/>
    <xf numFmtId="0" fontId="12" fillId="4" borderId="1" xfId="0" applyFont="1" applyFill="1" applyBorder="1"/>
    <xf numFmtId="0" fontId="16" fillId="0" borderId="0" xfId="0" applyFont="1"/>
    <xf numFmtId="3" fontId="12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left"/>
    </xf>
    <xf numFmtId="16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3" fontId="18" fillId="4" borderId="1" xfId="0" applyNumberFormat="1" applyFont="1" applyFill="1" applyBorder="1" applyAlignment="1">
      <alignment horizontal="center"/>
    </xf>
    <xf numFmtId="0" fontId="12" fillId="5" borderId="0" xfId="0" applyFont="1" applyFill="1"/>
    <xf numFmtId="0" fontId="19" fillId="0" borderId="0" xfId="0" applyFont="1" applyAlignment="1">
      <alignment horizontal="center"/>
    </xf>
    <xf numFmtId="0" fontId="20" fillId="0" borderId="0" xfId="0" applyFont="1"/>
    <xf numFmtId="0" fontId="21" fillId="0" borderId="0" xfId="0" applyFont="1"/>
    <xf numFmtId="0" fontId="22" fillId="0" borderId="2" xfId="0" applyFont="1" applyBorder="1" applyAlignment="1">
      <alignment horizontal="left"/>
    </xf>
    <xf numFmtId="0" fontId="23" fillId="0" borderId="0" xfId="0" applyFont="1" applyAlignment="1">
      <alignment horizontal="right"/>
    </xf>
    <xf numFmtId="0" fontId="21" fillId="0" borderId="0" xfId="0" applyFont="1" applyAlignment="1">
      <alignment horizontal="left"/>
    </xf>
    <xf numFmtId="0" fontId="24" fillId="0" borderId="0" xfId="0" applyFont="1"/>
    <xf numFmtId="0" fontId="25" fillId="0" borderId="0" xfId="0" applyFont="1"/>
    <xf numFmtId="0" fontId="26" fillId="0" borderId="2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27" fillId="0" borderId="6" xfId="0" applyFont="1" applyBorder="1" applyAlignment="1">
      <alignment horizontal="left"/>
    </xf>
    <xf numFmtId="0" fontId="9" fillId="6" borderId="1" xfId="0" applyFont="1" applyFill="1" applyBorder="1"/>
    <xf numFmtId="0" fontId="1" fillId="3" borderId="0" xfId="0" applyFont="1" applyFill="1" applyAlignment="1">
      <alignment horizontal="center"/>
    </xf>
    <xf numFmtId="0" fontId="20" fillId="3" borderId="0" xfId="0" applyFont="1" applyFill="1"/>
    <xf numFmtId="0" fontId="28" fillId="0" borderId="0" xfId="0" applyFont="1"/>
    <xf numFmtId="0" fontId="29" fillId="0" borderId="0" xfId="0" applyFont="1"/>
    <xf numFmtId="0" fontId="12" fillId="6" borderId="1" xfId="0" applyFont="1" applyFill="1" applyBorder="1"/>
    <xf numFmtId="0" fontId="12" fillId="6" borderId="1" xfId="0" applyFont="1" applyFill="1" applyBorder="1" applyAlignment="1">
      <alignment horizontal="center"/>
    </xf>
    <xf numFmtId="3" fontId="18" fillId="6" borderId="1" xfId="0" applyNumberFormat="1" applyFont="1" applyFill="1" applyBorder="1" applyAlignment="1">
      <alignment horizontal="center"/>
    </xf>
    <xf numFmtId="0" fontId="30" fillId="0" borderId="0" xfId="0" applyFont="1"/>
    <xf numFmtId="165" fontId="12" fillId="0" borderId="1" xfId="0" applyNumberFormat="1" applyFont="1" applyBorder="1" applyAlignment="1">
      <alignment horizontal="center"/>
    </xf>
    <xf numFmtId="0" fontId="9" fillId="7" borderId="1" xfId="0" applyFont="1" applyFill="1" applyBorder="1"/>
    <xf numFmtId="3" fontId="12" fillId="5" borderId="1" xfId="0" applyNumberFormat="1" applyFont="1" applyFill="1" applyBorder="1" applyAlignment="1">
      <alignment horizontal="center"/>
    </xf>
    <xf numFmtId="0" fontId="12" fillId="7" borderId="1" xfId="0" applyFont="1" applyFill="1" applyBorder="1"/>
    <xf numFmtId="0" fontId="12" fillId="7" borderId="1" xfId="0" applyFont="1" applyFill="1" applyBorder="1" applyAlignment="1">
      <alignment horizontal="center"/>
    </xf>
    <xf numFmtId="3" fontId="18" fillId="7" borderId="1" xfId="0" applyNumberFormat="1" applyFont="1" applyFill="1" applyBorder="1" applyAlignment="1">
      <alignment horizontal="center"/>
    </xf>
    <xf numFmtId="0" fontId="9" fillId="8" borderId="1" xfId="0" applyFont="1" applyFill="1" applyBorder="1"/>
    <xf numFmtId="0" fontId="23" fillId="0" borderId="0" xfId="0" applyFont="1"/>
    <xf numFmtId="0" fontId="31" fillId="0" borderId="2" xfId="0" applyFont="1" applyBorder="1" applyAlignment="1">
      <alignment horizontal="left"/>
    </xf>
    <xf numFmtId="0" fontId="32" fillId="0" borderId="6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2" fillId="8" borderId="1" xfId="0" applyFont="1" applyFill="1" applyBorder="1"/>
    <xf numFmtId="0" fontId="12" fillId="8" borderId="1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5" fillId="0" borderId="8" xfId="0" applyFont="1" applyBorder="1" applyAlignment="1">
      <alignment horizontal="left"/>
    </xf>
    <xf numFmtId="3" fontId="18" fillId="8" borderId="1" xfId="0" applyNumberFormat="1" applyFont="1" applyFill="1" applyBorder="1" applyAlignment="1">
      <alignment horizontal="center"/>
    </xf>
    <xf numFmtId="0" fontId="33" fillId="0" borderId="6" xfId="0" applyFont="1" applyBorder="1" applyAlignment="1">
      <alignment horizontal="left"/>
    </xf>
    <xf numFmtId="0" fontId="31" fillId="0" borderId="5" xfId="0" applyFont="1" applyBorder="1" applyAlignment="1">
      <alignment horizontal="left"/>
    </xf>
    <xf numFmtId="0" fontId="34" fillId="0" borderId="6" xfId="0" applyFont="1" applyBorder="1" applyAlignment="1">
      <alignment horizontal="left"/>
    </xf>
    <xf numFmtId="0" fontId="32" fillId="0" borderId="2" xfId="0" applyFont="1" applyBorder="1" applyAlignment="1">
      <alignment horizontal="left"/>
    </xf>
    <xf numFmtId="0" fontId="35" fillId="0" borderId="0" xfId="0" applyFont="1" applyAlignment="1">
      <alignment horizontal="center"/>
    </xf>
    <xf numFmtId="0" fontId="9" fillId="9" borderId="1" xfId="0" applyFont="1" applyFill="1" applyBorder="1"/>
    <xf numFmtId="0" fontId="35" fillId="0" borderId="5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12" fillId="9" borderId="1" xfId="0" applyFont="1" applyFill="1" applyBorder="1"/>
    <xf numFmtId="0" fontId="12" fillId="9" borderId="1" xfId="0" applyFont="1" applyFill="1" applyBorder="1" applyAlignment="1">
      <alignment horizontal="center"/>
    </xf>
    <xf numFmtId="3" fontId="18" fillId="9" borderId="1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0" fillId="0" borderId="4" xfId="0" applyFont="1" applyBorder="1"/>
    <xf numFmtId="0" fontId="32" fillId="0" borderId="0" xfId="0" applyFont="1" applyAlignment="1">
      <alignment horizontal="left"/>
    </xf>
    <xf numFmtId="0" fontId="26" fillId="0" borderId="6" xfId="0" applyFont="1" applyBorder="1" applyAlignment="1">
      <alignment horizontal="left"/>
    </xf>
    <xf numFmtId="0" fontId="9" fillId="10" borderId="1" xfId="0" applyFont="1" applyFill="1" applyBorder="1"/>
    <xf numFmtId="0" fontId="36" fillId="0" borderId="6" xfId="0" applyFont="1" applyBorder="1" applyAlignment="1">
      <alignment horizontal="left"/>
    </xf>
    <xf numFmtId="0" fontId="37" fillId="0" borderId="0" xfId="0" applyFont="1"/>
    <xf numFmtId="0" fontId="12" fillId="10" borderId="1" xfId="0" applyFont="1" applyFill="1" applyBorder="1"/>
    <xf numFmtId="0" fontId="2" fillId="0" borderId="0" xfId="0" applyFont="1" applyAlignment="1">
      <alignment horizontal="left"/>
    </xf>
    <xf numFmtId="0" fontId="12" fillId="10" borderId="1" xfId="0" applyFont="1" applyFill="1" applyBorder="1" applyAlignment="1">
      <alignment horizontal="center"/>
    </xf>
    <xf numFmtId="3" fontId="18" fillId="10" borderId="1" xfId="0" applyNumberFormat="1" applyFont="1" applyFill="1" applyBorder="1" applyAlignment="1">
      <alignment horizontal="center"/>
    </xf>
    <xf numFmtId="0" fontId="31" fillId="0" borderId="1" xfId="0" applyFont="1" applyBorder="1" applyAlignment="1">
      <alignment horizontal="left"/>
    </xf>
    <xf numFmtId="0" fontId="38" fillId="0" borderId="5" xfId="0" applyFont="1" applyBorder="1" applyAlignment="1">
      <alignment horizontal="left"/>
    </xf>
    <xf numFmtId="0" fontId="39" fillId="0" borderId="5" xfId="0" applyFont="1" applyBorder="1" applyAlignment="1">
      <alignment horizontal="left"/>
    </xf>
    <xf numFmtId="0" fontId="39" fillId="0" borderId="6" xfId="0" applyFont="1" applyBorder="1" applyAlignment="1">
      <alignment horizontal="left"/>
    </xf>
    <xf numFmtId="0" fontId="40" fillId="0" borderId="0" xfId="0" applyFont="1"/>
    <xf numFmtId="0" fontId="35" fillId="0" borderId="0" xfId="0" applyFont="1" applyAlignment="1">
      <alignment horizontal="right"/>
    </xf>
    <xf numFmtId="0" fontId="41" fillId="0" borderId="0" xfId="0" applyFont="1"/>
    <xf numFmtId="0" fontId="1" fillId="3" borderId="0" xfId="0" applyFont="1" applyFill="1" applyAlignment="1">
      <alignment horizontal="right"/>
    </xf>
    <xf numFmtId="0" fontId="1" fillId="3" borderId="0" xfId="0" applyFont="1" applyFill="1"/>
    <xf numFmtId="0" fontId="1" fillId="0" borderId="0" xfId="0" applyFont="1" applyAlignment="1">
      <alignment horizontal="right"/>
    </xf>
    <xf numFmtId="0" fontId="1" fillId="0" borderId="0" xfId="0" applyFont="1"/>
    <xf numFmtId="0" fontId="42" fillId="0" borderId="1" xfId="0" applyFont="1" applyBorder="1" applyAlignment="1">
      <alignment horizontal="left"/>
    </xf>
    <xf numFmtId="0" fontId="42" fillId="0" borderId="5" xfId="0" applyFont="1" applyBorder="1" applyAlignment="1">
      <alignment horizontal="left"/>
    </xf>
    <xf numFmtId="0" fontId="9" fillId="11" borderId="1" xfId="0" applyFont="1" applyFill="1" applyBorder="1"/>
    <xf numFmtId="0" fontId="12" fillId="11" borderId="1" xfId="0" applyFont="1" applyFill="1" applyBorder="1"/>
    <xf numFmtId="0" fontId="12" fillId="11" borderId="1" xfId="0" applyFont="1" applyFill="1" applyBorder="1" applyAlignment="1">
      <alignment horizontal="center"/>
    </xf>
    <xf numFmtId="3" fontId="18" fillId="11" borderId="1" xfId="0" applyNumberFormat="1" applyFont="1" applyFill="1" applyBorder="1" applyAlignment="1">
      <alignment horizontal="center"/>
    </xf>
    <xf numFmtId="0" fontId="43" fillId="0" borderId="0" xfId="0" applyFont="1" applyAlignment="1">
      <alignment horizontal="right"/>
    </xf>
    <xf numFmtId="0" fontId="31" fillId="3" borderId="5" xfId="0" applyFont="1" applyFill="1" applyBorder="1" applyAlignment="1">
      <alignment horizontal="left"/>
    </xf>
    <xf numFmtId="0" fontId="32" fillId="3" borderId="6" xfId="0" applyFont="1" applyFill="1" applyBorder="1" applyAlignment="1">
      <alignment horizontal="left"/>
    </xf>
    <xf numFmtId="0" fontId="44" fillId="0" borderId="0" xfId="0" applyFont="1" applyAlignment="1">
      <alignment horizontal="right"/>
    </xf>
    <xf numFmtId="0" fontId="9" fillId="5" borderId="1" xfId="0" applyFont="1" applyFill="1" applyBorder="1"/>
    <xf numFmtId="0" fontId="12" fillId="5" borderId="1" xfId="0" applyFont="1" applyFill="1" applyBorder="1"/>
    <xf numFmtId="0" fontId="12" fillId="5" borderId="1" xfId="0" applyFont="1" applyFill="1" applyBorder="1" applyAlignment="1">
      <alignment horizontal="center"/>
    </xf>
    <xf numFmtId="3" fontId="18" fillId="5" borderId="1" xfId="0" applyNumberFormat="1" applyFont="1" applyFill="1" applyBorder="1" applyAlignment="1">
      <alignment horizontal="center"/>
    </xf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left"/>
    </xf>
    <xf numFmtId="0" fontId="20" fillId="0" borderId="0" xfId="0" applyFont="1" applyAlignment="1">
      <alignment horizontal="right"/>
    </xf>
    <xf numFmtId="0" fontId="45" fillId="0" borderId="0" xfId="0" applyFont="1" applyAlignment="1">
      <alignment horizontal="right"/>
    </xf>
    <xf numFmtId="0" fontId="19" fillId="3" borderId="0" xfId="0" applyFont="1" applyFill="1" applyAlignment="1">
      <alignment horizontal="center"/>
    </xf>
    <xf numFmtId="0" fontId="9" fillId="12" borderId="1" xfId="0" applyFont="1" applyFill="1" applyBorder="1"/>
    <xf numFmtId="0" fontId="12" fillId="12" borderId="1" xfId="0" applyFont="1" applyFill="1" applyBorder="1"/>
    <xf numFmtId="0" fontId="12" fillId="12" borderId="1" xfId="0" applyFont="1" applyFill="1" applyBorder="1" applyAlignment="1">
      <alignment horizontal="center"/>
    </xf>
    <xf numFmtId="3" fontId="18" fillId="12" borderId="1" xfId="0" applyNumberFormat="1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48" fillId="5" borderId="0" xfId="0" applyFont="1" applyFill="1"/>
    <xf numFmtId="0" fontId="47" fillId="5" borderId="1" xfId="0" applyFont="1" applyFill="1" applyBorder="1"/>
    <xf numFmtId="0" fontId="49" fillId="2" borderId="0" xfId="0" applyFont="1" applyFill="1" applyAlignment="1">
      <alignment horizontal="left"/>
    </xf>
    <xf numFmtId="0" fontId="50" fillId="5" borderId="1" xfId="0" applyFont="1" applyFill="1" applyBorder="1"/>
    <xf numFmtId="3" fontId="51" fillId="5" borderId="1" xfId="0" applyNumberFormat="1" applyFont="1" applyFill="1" applyBorder="1" applyAlignment="1">
      <alignment horizontal="center"/>
    </xf>
    <xf numFmtId="0" fontId="52" fillId="5" borderId="1" xfId="0" applyFont="1" applyFill="1" applyBorder="1"/>
    <xf numFmtId="0" fontId="52" fillId="5" borderId="1" xfId="0" applyFont="1" applyFill="1" applyBorder="1" applyAlignment="1">
      <alignment horizontal="center"/>
    </xf>
    <xf numFmtId="3" fontId="18" fillId="0" borderId="0" xfId="0" applyNumberFormat="1" applyFont="1" applyAlignment="1">
      <alignment horizontal="center"/>
    </xf>
    <xf numFmtId="0" fontId="12" fillId="13" borderId="0" xfId="0" applyFont="1" applyFill="1"/>
    <xf numFmtId="3" fontId="53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3" fontId="54" fillId="0" borderId="1" xfId="0" applyNumberFormat="1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12" fillId="5" borderId="0" xfId="0" applyFont="1" applyFill="1" applyAlignment="1">
      <alignment horizontal="center"/>
    </xf>
    <xf numFmtId="3" fontId="54" fillId="0" borderId="0" xfId="0" applyNumberFormat="1" applyFont="1" applyAlignment="1">
      <alignment horizontal="center"/>
    </xf>
    <xf numFmtId="3" fontId="18" fillId="5" borderId="0" xfId="0" applyNumberFormat="1" applyFont="1" applyFill="1" applyAlignment="1">
      <alignment horizontal="center"/>
    </xf>
    <xf numFmtId="0" fontId="47" fillId="5" borderId="0" xfId="0" applyFont="1" applyFill="1"/>
    <xf numFmtId="0" fontId="5" fillId="0" borderId="3" xfId="0" applyFont="1" applyBorder="1" applyAlignment="1">
      <alignment horizontal="center" vertical="center"/>
    </xf>
    <xf numFmtId="0" fontId="6" fillId="0" borderId="4" xfId="0" applyFont="1" applyBorder="1"/>
    <xf numFmtId="0" fontId="6" fillId="0" borderId="2" xfId="0" applyFont="1" applyBorder="1"/>
    <xf numFmtId="0" fontId="11" fillId="0" borderId="3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0" fontId="42" fillId="14" borderId="1" xfId="0" applyFont="1" applyFill="1" applyBorder="1" applyAlignment="1">
      <alignment horizontal="center"/>
    </xf>
    <xf numFmtId="0" fontId="12" fillId="15" borderId="1" xfId="0" applyFont="1" applyFill="1" applyBorder="1"/>
    <xf numFmtId="0" fontId="12" fillId="15" borderId="1" xfId="0" applyFont="1" applyFill="1" applyBorder="1" applyAlignment="1">
      <alignment horizontal="center"/>
    </xf>
    <xf numFmtId="3" fontId="54" fillId="14" borderId="1" xfId="0" applyNumberFormat="1" applyFont="1" applyFill="1" applyBorder="1" applyAlignment="1">
      <alignment horizontal="center"/>
    </xf>
    <xf numFmtId="3" fontId="18" fillId="15" borderId="1" xfId="0" applyNumberFormat="1" applyFont="1" applyFill="1" applyBorder="1" applyAlignment="1">
      <alignment horizontal="center"/>
    </xf>
    <xf numFmtId="0" fontId="12" fillId="14" borderId="0" xfId="0" applyFont="1" applyFill="1"/>
  </cellXfs>
  <cellStyles count="1">
    <cellStyle name="Normal" xfId="0" builtinId="0"/>
  </cellStyles>
  <dxfs count="2"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47"/>
  <sheetViews>
    <sheetView tabSelected="1" workbookViewId="0">
      <selection activeCell="J15" sqref="J15"/>
    </sheetView>
  </sheetViews>
  <sheetFormatPr defaultColWidth="12.5703125" defaultRowHeight="15.75" customHeight="1"/>
  <sheetData>
    <row r="1" spans="1:2" ht="15.75" customHeight="1">
      <c r="A1" s="1">
        <v>763939009</v>
      </c>
      <c r="B1" s="2" t="s">
        <v>0</v>
      </c>
    </row>
    <row r="2" spans="1:2" ht="15.75" customHeight="1">
      <c r="A2" s="3">
        <v>939640407</v>
      </c>
      <c r="B2" s="4" t="s">
        <v>1</v>
      </c>
    </row>
    <row r="3" spans="1:2" ht="15.75" customHeight="1">
      <c r="A3" s="3">
        <v>932929119</v>
      </c>
      <c r="B3" s="5" t="s">
        <v>2</v>
      </c>
    </row>
    <row r="4" spans="1:2" ht="15.75" customHeight="1">
      <c r="A4" s="3">
        <v>901059299</v>
      </c>
      <c r="B4" s="6" t="s">
        <v>3</v>
      </c>
    </row>
    <row r="5" spans="1:2" ht="15.75" customHeight="1">
      <c r="A5" s="7">
        <v>939563439</v>
      </c>
      <c r="B5" s="6" t="s">
        <v>4</v>
      </c>
    </row>
    <row r="6" spans="1:2" ht="15.75" customHeight="1">
      <c r="A6" s="7">
        <v>797380699</v>
      </c>
      <c r="B6" s="6" t="s">
        <v>5</v>
      </c>
    </row>
    <row r="7" spans="1:2" ht="15.75" customHeight="1">
      <c r="A7" s="7">
        <v>932919113</v>
      </c>
      <c r="B7" s="6" t="s">
        <v>6</v>
      </c>
    </row>
    <row r="8" spans="1:2" ht="15.75" customHeight="1">
      <c r="A8" s="7">
        <v>939279234</v>
      </c>
      <c r="B8" s="6" t="s">
        <v>7</v>
      </c>
    </row>
    <row r="9" spans="1:2" ht="15.75" customHeight="1">
      <c r="A9" s="7">
        <v>932929916</v>
      </c>
      <c r="B9" s="6" t="s">
        <v>8</v>
      </c>
    </row>
    <row r="10" spans="1:2" ht="15.75" customHeight="1">
      <c r="A10" s="7">
        <v>933599878</v>
      </c>
      <c r="B10" s="6" t="s">
        <v>9</v>
      </c>
    </row>
    <row r="11" spans="1:2" ht="15.75" customHeight="1">
      <c r="A11" s="7">
        <v>908072288</v>
      </c>
      <c r="B11" s="6" t="s">
        <v>9</v>
      </c>
    </row>
    <row r="12" spans="1:2" ht="15.75" customHeight="1">
      <c r="A12" s="7">
        <v>766802288</v>
      </c>
      <c r="B12" s="6" t="s">
        <v>9</v>
      </c>
    </row>
    <row r="13" spans="1:2" ht="15.75" customHeight="1">
      <c r="A13" s="8">
        <v>901767878</v>
      </c>
      <c r="B13" s="6" t="s">
        <v>10</v>
      </c>
    </row>
    <row r="14" spans="1:2" ht="15.75" customHeight="1">
      <c r="A14" s="7">
        <v>901076758</v>
      </c>
      <c r="B14" s="6" t="s">
        <v>11</v>
      </c>
    </row>
    <row r="15" spans="1:2" ht="15.75" customHeight="1">
      <c r="A15" s="7">
        <v>939094068</v>
      </c>
      <c r="B15" s="6" t="s">
        <v>12</v>
      </c>
    </row>
    <row r="16" spans="1:2" ht="15.75" customHeight="1">
      <c r="A16" s="7">
        <v>931082883</v>
      </c>
      <c r="B16" s="6" t="s">
        <v>13</v>
      </c>
    </row>
    <row r="17" spans="1:2" ht="15.75" customHeight="1">
      <c r="A17" s="7">
        <v>796973339</v>
      </c>
      <c r="B17" s="6" t="s">
        <v>14</v>
      </c>
    </row>
    <row r="18" spans="1:2" ht="15.75" customHeight="1">
      <c r="A18" s="7">
        <v>796994779</v>
      </c>
      <c r="B18" s="6" t="s">
        <v>15</v>
      </c>
    </row>
    <row r="19" spans="1:2" ht="15.75" customHeight="1">
      <c r="A19" s="7">
        <v>766851979</v>
      </c>
      <c r="B19" s="6" t="s">
        <v>16</v>
      </c>
    </row>
    <row r="20" spans="1:2" ht="15.75" customHeight="1">
      <c r="A20" s="7">
        <v>939946366</v>
      </c>
      <c r="B20" s="6" t="s">
        <v>17</v>
      </c>
    </row>
    <row r="21" spans="1:2" ht="15.75" customHeight="1">
      <c r="A21" s="7">
        <v>766884366</v>
      </c>
      <c r="B21" s="6" t="s">
        <v>18</v>
      </c>
    </row>
    <row r="22" spans="1:2" ht="15.75" customHeight="1">
      <c r="A22" s="7">
        <v>782844366</v>
      </c>
      <c r="B22" s="6" t="s">
        <v>18</v>
      </c>
    </row>
    <row r="23" spans="1:2" ht="15.75" customHeight="1">
      <c r="A23" s="7">
        <v>767919168</v>
      </c>
      <c r="B23" s="6" t="s">
        <v>19</v>
      </c>
    </row>
    <row r="24" spans="1:2" ht="15.75" customHeight="1">
      <c r="A24" s="7">
        <v>769333938</v>
      </c>
      <c r="B24" s="6" t="s">
        <v>20</v>
      </c>
    </row>
    <row r="25" spans="1:2" ht="15.75" customHeight="1">
      <c r="A25" s="7">
        <v>763848979</v>
      </c>
      <c r="B25" s="6" t="s">
        <v>21</v>
      </c>
    </row>
    <row r="26" spans="1:2" ht="15.75" customHeight="1">
      <c r="A26" s="7">
        <v>763901500</v>
      </c>
      <c r="B26" s="6" t="s">
        <v>22</v>
      </c>
    </row>
    <row r="27" spans="1:2" ht="15.75" customHeight="1">
      <c r="A27" s="7">
        <v>939036635</v>
      </c>
      <c r="B27" s="6" t="s">
        <v>23</v>
      </c>
    </row>
    <row r="28" spans="1:2" ht="15.75" customHeight="1">
      <c r="A28" s="7">
        <v>901011566</v>
      </c>
      <c r="B28" s="6" t="s">
        <v>24</v>
      </c>
    </row>
    <row r="29" spans="1:2" ht="15.75" customHeight="1">
      <c r="A29" s="7">
        <v>938081299</v>
      </c>
      <c r="B29" s="6" t="s">
        <v>25</v>
      </c>
    </row>
    <row r="30" spans="1:2" ht="15.75" customHeight="1">
      <c r="A30" s="7">
        <v>766802003</v>
      </c>
      <c r="B30" s="6" t="s">
        <v>26</v>
      </c>
    </row>
    <row r="31" spans="1:2" ht="15.75" customHeight="1">
      <c r="A31" s="7">
        <v>939033679</v>
      </c>
      <c r="B31" s="6" t="s">
        <v>27</v>
      </c>
    </row>
    <row r="32" spans="1:2" ht="15.75" customHeight="1">
      <c r="A32" s="7">
        <v>988850277</v>
      </c>
      <c r="B32" s="6" t="s">
        <v>28</v>
      </c>
    </row>
    <row r="33" spans="1:2" ht="19.5">
      <c r="A33" s="7">
        <v>787897938</v>
      </c>
      <c r="B33" s="6" t="s">
        <v>29</v>
      </c>
    </row>
    <row r="34" spans="1:2" ht="19.5">
      <c r="A34" s="7">
        <v>706861199</v>
      </c>
      <c r="B34" s="6" t="s">
        <v>30</v>
      </c>
    </row>
    <row r="35" spans="1:2" ht="19.5">
      <c r="A35" s="7">
        <v>909494429</v>
      </c>
      <c r="B35" s="6" t="s">
        <v>31</v>
      </c>
    </row>
    <row r="36" spans="1:2" ht="19.5">
      <c r="A36" s="7">
        <v>939580368</v>
      </c>
      <c r="B36" s="6" t="s">
        <v>32</v>
      </c>
    </row>
    <row r="37" spans="1:2" ht="19.5">
      <c r="A37" s="7">
        <v>932115916</v>
      </c>
      <c r="B37" s="6" t="s">
        <v>33</v>
      </c>
    </row>
    <row r="38" spans="1:2" ht="19.5">
      <c r="A38" s="7">
        <v>939351399</v>
      </c>
      <c r="B38" s="6" t="s">
        <v>34</v>
      </c>
    </row>
    <row r="39" spans="1:2" ht="19.5">
      <c r="A39" s="7">
        <v>939051399</v>
      </c>
      <c r="B39" s="6" t="s">
        <v>36</v>
      </c>
    </row>
    <row r="40" spans="1:2" ht="19.5">
      <c r="A40" s="7">
        <v>766950258</v>
      </c>
      <c r="B40" s="6" t="s">
        <v>37</v>
      </c>
    </row>
    <row r="41" spans="1:2" ht="19.5">
      <c r="A41" s="7">
        <v>932919279</v>
      </c>
      <c r="B41" s="6" t="s">
        <v>38</v>
      </c>
    </row>
    <row r="42" spans="1:2" ht="19.5">
      <c r="A42" s="7">
        <v>939979101</v>
      </c>
      <c r="B42" s="6" t="s">
        <v>39</v>
      </c>
    </row>
    <row r="43" spans="1:2" ht="19.5">
      <c r="A43" s="7">
        <v>901076758</v>
      </c>
      <c r="B43" s="6" t="s">
        <v>11</v>
      </c>
    </row>
    <row r="44" spans="1:2" ht="19.5">
      <c r="A44" s="7">
        <v>939231083</v>
      </c>
      <c r="B44" s="6" t="s">
        <v>40</v>
      </c>
    </row>
    <row r="45" spans="1:2" ht="19.5">
      <c r="A45" s="7">
        <v>796838336</v>
      </c>
      <c r="B45" s="6" t="s">
        <v>42</v>
      </c>
    </row>
    <row r="46" spans="1:2" ht="19.5">
      <c r="A46" s="7">
        <v>907769182</v>
      </c>
      <c r="B46" s="6" t="s">
        <v>43</v>
      </c>
    </row>
    <row r="47" spans="1:2" ht="19.5">
      <c r="A47" s="7">
        <v>939203563</v>
      </c>
      <c r="B47" s="6" t="s">
        <v>46</v>
      </c>
    </row>
    <row r="48" spans="1:2" ht="19.5">
      <c r="A48" s="7">
        <v>907916791</v>
      </c>
      <c r="B48" s="6" t="s">
        <v>48</v>
      </c>
    </row>
    <row r="49" spans="1:2" ht="19.5">
      <c r="A49" s="7">
        <v>907880091</v>
      </c>
      <c r="B49" s="6" t="s">
        <v>39</v>
      </c>
    </row>
    <row r="50" spans="1:2" ht="19.5">
      <c r="A50" s="7">
        <v>939290113</v>
      </c>
      <c r="B50" s="6" t="s">
        <v>53</v>
      </c>
    </row>
    <row r="51" spans="1:2" ht="19.5">
      <c r="A51" s="7">
        <v>774019919</v>
      </c>
      <c r="B51" s="6" t="s">
        <v>57</v>
      </c>
    </row>
    <row r="52" spans="1:2" ht="19.5">
      <c r="A52" s="7">
        <v>794335363</v>
      </c>
      <c r="B52" s="6" t="s">
        <v>58</v>
      </c>
    </row>
    <row r="53" spans="1:2" ht="19.5">
      <c r="A53" s="7">
        <v>795904378</v>
      </c>
      <c r="B53" s="6" t="s">
        <v>59</v>
      </c>
    </row>
    <row r="54" spans="1:2" ht="18.75">
      <c r="A54" s="1">
        <v>907416165</v>
      </c>
      <c r="B54" s="13" t="s">
        <v>60</v>
      </c>
    </row>
    <row r="55" spans="1:2" ht="18.75">
      <c r="A55" s="3">
        <v>776566606</v>
      </c>
      <c r="B55" s="13" t="s">
        <v>61</v>
      </c>
    </row>
    <row r="56" spans="1:2" ht="18.75">
      <c r="A56" s="3">
        <v>939697351</v>
      </c>
      <c r="B56" s="13" t="s">
        <v>62</v>
      </c>
    </row>
    <row r="57" spans="1:2" ht="18.75">
      <c r="A57" s="3">
        <v>939205191</v>
      </c>
      <c r="B57" s="13" t="s">
        <v>63</v>
      </c>
    </row>
    <row r="58" spans="1:2" ht="18.75">
      <c r="A58" s="3">
        <v>931788138</v>
      </c>
      <c r="B58" s="13" t="s">
        <v>64</v>
      </c>
    </row>
    <row r="59" spans="1:2" ht="18.75">
      <c r="A59" s="3">
        <v>932919113</v>
      </c>
      <c r="B59" s="13" t="s">
        <v>6</v>
      </c>
    </row>
    <row r="60" spans="1:2" ht="18.75">
      <c r="A60" s="3">
        <v>939433559</v>
      </c>
      <c r="B60" s="13" t="s">
        <v>65</v>
      </c>
    </row>
    <row r="61" spans="1:2" ht="18.75">
      <c r="A61" s="3">
        <v>797772929</v>
      </c>
      <c r="B61" s="13" t="s">
        <v>66</v>
      </c>
    </row>
    <row r="62" spans="1:2" ht="18.75">
      <c r="A62" s="3">
        <v>939396063</v>
      </c>
      <c r="B62" s="13" t="s">
        <v>67</v>
      </c>
    </row>
    <row r="63" spans="1:2" ht="18.75">
      <c r="A63" s="3">
        <v>931069089</v>
      </c>
      <c r="B63" s="13" t="s">
        <v>68</v>
      </c>
    </row>
    <row r="64" spans="1:2" ht="18.75">
      <c r="A64" s="3">
        <v>907833378</v>
      </c>
      <c r="B64" s="14" t="s">
        <v>69</v>
      </c>
    </row>
    <row r="65" spans="1:2" ht="18.75">
      <c r="A65" s="3">
        <v>793979699</v>
      </c>
      <c r="B65" s="15" t="s">
        <v>70</v>
      </c>
    </row>
    <row r="66" spans="1:2" ht="18.75">
      <c r="A66" s="3">
        <v>798093807</v>
      </c>
      <c r="B66" s="15" t="s">
        <v>72</v>
      </c>
    </row>
    <row r="67" spans="1:2" ht="18.75">
      <c r="A67" s="3">
        <v>932856989</v>
      </c>
      <c r="B67" s="15" t="s">
        <v>74</v>
      </c>
    </row>
    <row r="68" spans="1:2" ht="18.75">
      <c r="A68" s="3">
        <v>763993968</v>
      </c>
      <c r="B68" s="15" t="s">
        <v>75</v>
      </c>
    </row>
    <row r="69" spans="1:2" ht="18.75">
      <c r="A69" s="3">
        <v>783966689</v>
      </c>
      <c r="B69" s="15" t="s">
        <v>76</v>
      </c>
    </row>
    <row r="70" spans="1:2" ht="18.75">
      <c r="A70" s="3">
        <v>932923479</v>
      </c>
      <c r="B70" s="15" t="s">
        <v>77</v>
      </c>
    </row>
    <row r="71" spans="1:2" ht="18.75">
      <c r="A71" s="3">
        <v>939791721</v>
      </c>
      <c r="B71" s="18" t="s">
        <v>78</v>
      </c>
    </row>
    <row r="72" spans="1:2" ht="18.75">
      <c r="A72" s="3">
        <v>763977789</v>
      </c>
      <c r="B72" s="20" t="s">
        <v>79</v>
      </c>
    </row>
    <row r="73" spans="1:2" ht="18.75">
      <c r="A73" s="3">
        <v>939345322</v>
      </c>
      <c r="B73" s="20" t="s">
        <v>80</v>
      </c>
    </row>
    <row r="74" spans="1:2" ht="18.75">
      <c r="A74" s="3">
        <v>939330360</v>
      </c>
      <c r="B74" s="20" t="s">
        <v>81</v>
      </c>
    </row>
    <row r="75" spans="1:2" ht="18.75">
      <c r="A75" s="3">
        <v>932993088</v>
      </c>
      <c r="B75" s="20" t="s">
        <v>82</v>
      </c>
    </row>
    <row r="76" spans="1:2" ht="18.75">
      <c r="A76" s="3">
        <v>704797978</v>
      </c>
      <c r="B76" s="20" t="s">
        <v>84</v>
      </c>
    </row>
    <row r="77" spans="1:2" ht="18.75">
      <c r="A77" s="3">
        <v>907880007</v>
      </c>
      <c r="B77" s="20" t="s">
        <v>84</v>
      </c>
    </row>
    <row r="78" spans="1:2" ht="19.5">
      <c r="A78" s="24">
        <v>906874011</v>
      </c>
      <c r="B78" s="20" t="s">
        <v>85</v>
      </c>
    </row>
    <row r="79" spans="1:2" ht="19.5">
      <c r="A79" s="7">
        <v>786999679</v>
      </c>
      <c r="B79" s="5" t="s">
        <v>4</v>
      </c>
    </row>
    <row r="80" spans="1:2" ht="19.5">
      <c r="A80" s="7">
        <v>786086878</v>
      </c>
      <c r="B80" s="5" t="s">
        <v>88</v>
      </c>
    </row>
    <row r="81" spans="1:2" ht="19.5">
      <c r="A81" s="7">
        <v>703999709</v>
      </c>
      <c r="B81" s="5" t="s">
        <v>89</v>
      </c>
    </row>
    <row r="82" spans="1:2" ht="19.5">
      <c r="A82" s="7">
        <v>766829789</v>
      </c>
      <c r="B82" s="5" t="s">
        <v>90</v>
      </c>
    </row>
    <row r="83" spans="1:2" ht="19.5">
      <c r="A83" s="7">
        <v>776505070</v>
      </c>
      <c r="B83" s="5" t="s">
        <v>91</v>
      </c>
    </row>
    <row r="84" spans="1:2" ht="19.5">
      <c r="A84" s="7">
        <v>937598199</v>
      </c>
      <c r="B84" s="5" t="s">
        <v>92</v>
      </c>
    </row>
    <row r="85" spans="1:2" ht="19.5">
      <c r="A85" s="7">
        <v>787955556</v>
      </c>
      <c r="B85" s="5" t="s">
        <v>93</v>
      </c>
    </row>
    <row r="86" spans="1:2" ht="19.5">
      <c r="A86" s="7">
        <v>907982798</v>
      </c>
      <c r="B86" s="5" t="s">
        <v>95</v>
      </c>
    </row>
    <row r="87" spans="1:2" ht="19.5">
      <c r="A87" s="7">
        <v>907989874</v>
      </c>
      <c r="B87" s="5" t="s">
        <v>97</v>
      </c>
    </row>
    <row r="88" spans="1:2" ht="19.5">
      <c r="A88" s="7">
        <v>939284004</v>
      </c>
      <c r="B88" s="5" t="s">
        <v>98</v>
      </c>
    </row>
    <row r="89" spans="1:2" ht="19.5">
      <c r="A89" s="7">
        <v>909244004</v>
      </c>
      <c r="B89" s="5" t="s">
        <v>98</v>
      </c>
    </row>
    <row r="90" spans="1:2" ht="19.5">
      <c r="A90" s="7">
        <v>901244004</v>
      </c>
      <c r="B90" s="5" t="s">
        <v>98</v>
      </c>
    </row>
    <row r="91" spans="1:2" ht="19.5">
      <c r="A91" s="7">
        <v>939586066</v>
      </c>
      <c r="B91" s="5" t="s">
        <v>99</v>
      </c>
    </row>
    <row r="92" spans="1:2" ht="19.5">
      <c r="A92" s="7">
        <v>939068036</v>
      </c>
      <c r="B92" s="5" t="s">
        <v>100</v>
      </c>
    </row>
    <row r="93" spans="1:2" ht="19.5">
      <c r="A93" s="7">
        <v>939523819</v>
      </c>
      <c r="B93" s="5" t="s">
        <v>101</v>
      </c>
    </row>
    <row r="94" spans="1:2" ht="19.5">
      <c r="A94" s="7">
        <v>788779798</v>
      </c>
      <c r="B94" s="5" t="s">
        <v>102</v>
      </c>
    </row>
    <row r="95" spans="1:2" ht="19.5">
      <c r="A95" s="7">
        <v>939068963</v>
      </c>
      <c r="B95" s="5" t="s">
        <v>103</v>
      </c>
    </row>
    <row r="96" spans="1:2" ht="19.5">
      <c r="A96" s="7">
        <v>939890980</v>
      </c>
      <c r="B96" s="5" t="s">
        <v>104</v>
      </c>
    </row>
    <row r="97" spans="1:2" ht="19.5">
      <c r="A97" s="7">
        <v>788975319</v>
      </c>
      <c r="B97" s="5" t="s">
        <v>105</v>
      </c>
    </row>
    <row r="98" spans="1:2" ht="19.5">
      <c r="A98" s="7">
        <v>939865286</v>
      </c>
      <c r="B98" s="5" t="s">
        <v>106</v>
      </c>
    </row>
    <row r="99" spans="1:2" ht="19.5">
      <c r="A99" s="7">
        <v>939637899</v>
      </c>
      <c r="B99" s="5" t="s">
        <v>107</v>
      </c>
    </row>
    <row r="100" spans="1:2" ht="19.5">
      <c r="A100" s="7">
        <v>907306169</v>
      </c>
      <c r="B100" s="5" t="s">
        <v>108</v>
      </c>
    </row>
    <row r="101" spans="1:2" ht="19.5">
      <c r="A101" s="7">
        <v>793989226</v>
      </c>
      <c r="B101" s="5" t="s">
        <v>109</v>
      </c>
    </row>
    <row r="102" spans="1:2" ht="19.5">
      <c r="A102" s="7">
        <v>909320563</v>
      </c>
      <c r="B102" s="5" t="s">
        <v>110</v>
      </c>
    </row>
    <row r="103" spans="1:2" ht="18.75">
      <c r="A103" s="27">
        <v>907570775</v>
      </c>
      <c r="B103" s="28" t="s">
        <v>111</v>
      </c>
    </row>
    <row r="104" spans="1:2" ht="18.75">
      <c r="A104" s="27">
        <v>901084883</v>
      </c>
      <c r="B104" s="28" t="s">
        <v>112</v>
      </c>
    </row>
    <row r="105" spans="1:2" ht="18.75">
      <c r="A105" s="27">
        <v>795819966</v>
      </c>
      <c r="B105" s="28" t="s">
        <v>112</v>
      </c>
    </row>
    <row r="106" spans="1:2" ht="18.75">
      <c r="A106" s="27">
        <v>907213883</v>
      </c>
      <c r="B106" s="28" t="s">
        <v>112</v>
      </c>
    </row>
    <row r="107" spans="1:2" ht="18.75">
      <c r="A107" s="27">
        <v>786999189</v>
      </c>
      <c r="B107" s="28" t="s">
        <v>112</v>
      </c>
    </row>
    <row r="108" spans="1:2" ht="18.75">
      <c r="A108" s="27">
        <v>901085883</v>
      </c>
      <c r="B108" s="28" t="s">
        <v>113</v>
      </c>
    </row>
    <row r="109" spans="1:2" ht="18.75">
      <c r="A109" s="27">
        <v>907087883</v>
      </c>
      <c r="B109" s="28" t="s">
        <v>113</v>
      </c>
    </row>
    <row r="110" spans="1:2" ht="18.75">
      <c r="A110" s="27">
        <v>903334229</v>
      </c>
      <c r="B110" s="28" t="s">
        <v>114</v>
      </c>
    </row>
    <row r="111" spans="1:2" ht="18.75">
      <c r="A111" s="3">
        <v>778112338</v>
      </c>
      <c r="B111" s="29" t="s">
        <v>115</v>
      </c>
    </row>
    <row r="112" spans="1:2" ht="19.5">
      <c r="A112" s="1">
        <v>939969498</v>
      </c>
      <c r="B112" s="30" t="s">
        <v>116</v>
      </c>
    </row>
    <row r="113" spans="1:2" ht="19.5">
      <c r="A113" s="31">
        <v>909130591</v>
      </c>
      <c r="B113" s="32" t="s">
        <v>117</v>
      </c>
    </row>
    <row r="114" spans="1:2" ht="18.75">
      <c r="A114" s="3">
        <v>901044933</v>
      </c>
      <c r="B114" s="33" t="s">
        <v>118</v>
      </c>
    </row>
    <row r="115" spans="1:2" ht="18.75">
      <c r="A115" s="3">
        <v>939930030</v>
      </c>
      <c r="B115" s="34" t="s">
        <v>119</v>
      </c>
    </row>
    <row r="116" spans="1:2" ht="18.75">
      <c r="A116" s="1">
        <v>907130059</v>
      </c>
      <c r="B116" s="35" t="s">
        <v>120</v>
      </c>
    </row>
    <row r="117" spans="1:2" ht="18.75">
      <c r="A117" s="36">
        <v>762888832</v>
      </c>
      <c r="B117" s="37" t="s">
        <v>121</v>
      </c>
    </row>
    <row r="118" spans="1:2" ht="18.75">
      <c r="A118" s="3">
        <v>769391939</v>
      </c>
      <c r="B118" s="18" t="s">
        <v>122</v>
      </c>
    </row>
    <row r="119" spans="1:2" ht="18.75">
      <c r="A119" s="3">
        <v>901009096</v>
      </c>
      <c r="B119" s="18" t="s">
        <v>122</v>
      </c>
    </row>
    <row r="120" spans="1:2" ht="18.75">
      <c r="A120" s="39">
        <v>763234668</v>
      </c>
      <c r="B120" s="40" t="s">
        <v>123</v>
      </c>
    </row>
    <row r="121" spans="1:2" ht="18.75">
      <c r="A121" s="3">
        <v>907022499</v>
      </c>
      <c r="B121" s="28" t="s">
        <v>124</v>
      </c>
    </row>
    <row r="122" spans="1:2" ht="18.75">
      <c r="A122" s="3">
        <v>793933566</v>
      </c>
      <c r="B122" s="18" t="s">
        <v>125</v>
      </c>
    </row>
    <row r="123" spans="1:2" ht="18.75">
      <c r="A123" s="3">
        <v>907965948</v>
      </c>
      <c r="B123" s="28" t="s">
        <v>126</v>
      </c>
    </row>
    <row r="124" spans="1:2" ht="18.75">
      <c r="A124" s="3">
        <v>939999196</v>
      </c>
      <c r="B124" s="33" t="s">
        <v>127</v>
      </c>
    </row>
    <row r="125" spans="1:2" ht="18.75">
      <c r="A125" s="3">
        <v>901074919</v>
      </c>
      <c r="B125" s="41" t="s">
        <v>128</v>
      </c>
    </row>
    <row r="126" spans="1:2" ht="18.75">
      <c r="A126" s="3">
        <v>908456566</v>
      </c>
      <c r="B126" s="41" t="s">
        <v>129</v>
      </c>
    </row>
    <row r="127" spans="1:2" ht="18.75">
      <c r="A127" s="27">
        <v>903026739</v>
      </c>
      <c r="B127" s="28" t="s">
        <v>129</v>
      </c>
    </row>
    <row r="128" spans="1:2" ht="18.75">
      <c r="A128" s="3">
        <v>908888514</v>
      </c>
      <c r="B128" s="28" t="s">
        <v>130</v>
      </c>
    </row>
    <row r="129" spans="1:2" ht="18.75">
      <c r="A129" s="3">
        <v>903333938</v>
      </c>
      <c r="B129" s="28" t="s">
        <v>131</v>
      </c>
    </row>
    <row r="130" spans="1:2" ht="18.75">
      <c r="A130" s="3">
        <v>908481656</v>
      </c>
      <c r="B130" s="28" t="s">
        <v>132</v>
      </c>
    </row>
    <row r="131" spans="1:2" ht="18.75">
      <c r="A131" s="3">
        <v>908000144</v>
      </c>
      <c r="B131" s="42" t="s">
        <v>133</v>
      </c>
    </row>
    <row r="132" spans="1:2" ht="18.75">
      <c r="A132" s="3">
        <v>903640838</v>
      </c>
      <c r="B132" s="28" t="s">
        <v>134</v>
      </c>
    </row>
    <row r="133" spans="1:2" ht="18.75">
      <c r="A133" s="3">
        <v>903337037</v>
      </c>
      <c r="B133" s="28" t="s">
        <v>135</v>
      </c>
    </row>
    <row r="134" spans="1:2" ht="18.75">
      <c r="A134" s="3">
        <v>904980405</v>
      </c>
      <c r="B134" s="28" t="s">
        <v>136</v>
      </c>
    </row>
    <row r="135" spans="1:2" ht="18.75">
      <c r="A135" s="3">
        <v>774623289</v>
      </c>
      <c r="B135" s="42" t="s">
        <v>137</v>
      </c>
    </row>
    <row r="136" spans="1:2" ht="18.75">
      <c r="A136" s="3">
        <v>903029449</v>
      </c>
      <c r="B136" s="28" t="s">
        <v>138</v>
      </c>
    </row>
    <row r="137" spans="1:2" ht="18.75">
      <c r="A137" s="3">
        <v>909114118</v>
      </c>
      <c r="B137" s="28" t="s">
        <v>139</v>
      </c>
    </row>
    <row r="138" spans="1:2" ht="18.75">
      <c r="A138" s="3">
        <v>932896296</v>
      </c>
      <c r="B138" s="42" t="s">
        <v>140</v>
      </c>
    </row>
    <row r="139" spans="1:2" ht="18.75">
      <c r="A139" s="3">
        <v>939996045</v>
      </c>
      <c r="B139" s="28" t="s">
        <v>141</v>
      </c>
    </row>
    <row r="140" spans="1:2" ht="18.75">
      <c r="A140" s="3">
        <v>796875686</v>
      </c>
      <c r="B140" s="28" t="s">
        <v>142</v>
      </c>
    </row>
    <row r="141" spans="1:2" ht="18.75">
      <c r="A141" s="3">
        <v>795932828</v>
      </c>
      <c r="B141" s="42" t="s">
        <v>142</v>
      </c>
    </row>
    <row r="142" spans="1:2" ht="18.75">
      <c r="A142" s="3">
        <v>931070719</v>
      </c>
      <c r="B142" s="28" t="s">
        <v>143</v>
      </c>
    </row>
    <row r="143" spans="1:2" ht="18.75">
      <c r="A143" s="3">
        <v>931070729</v>
      </c>
      <c r="B143" s="28" t="s">
        <v>143</v>
      </c>
    </row>
    <row r="144" spans="1:2" ht="18.75">
      <c r="A144" s="3">
        <v>902453789</v>
      </c>
      <c r="B144" s="18" t="s">
        <v>144</v>
      </c>
    </row>
    <row r="145" spans="1:2" ht="18.75">
      <c r="A145" s="3">
        <v>907724479</v>
      </c>
      <c r="B145" s="18" t="s">
        <v>144</v>
      </c>
    </row>
    <row r="146" spans="1:2" ht="18.75">
      <c r="A146" s="3">
        <v>909782559</v>
      </c>
      <c r="B146" s="28" t="s">
        <v>146</v>
      </c>
    </row>
    <row r="147" spans="1:2" ht="18.75">
      <c r="A147" s="3">
        <v>906313959</v>
      </c>
      <c r="B147" s="28" t="s">
        <v>147</v>
      </c>
    </row>
    <row r="148" spans="1:2" ht="18.75">
      <c r="A148" s="3">
        <v>906665971</v>
      </c>
      <c r="B148" s="28" t="s">
        <v>148</v>
      </c>
    </row>
    <row r="149" spans="1:2" ht="18.75">
      <c r="A149" s="3">
        <v>901225979</v>
      </c>
      <c r="B149" s="46" t="s">
        <v>149</v>
      </c>
    </row>
    <row r="150" spans="1:2" ht="18.75">
      <c r="A150" s="3">
        <v>907752790</v>
      </c>
      <c r="B150" s="18" t="s">
        <v>150</v>
      </c>
    </row>
    <row r="151" spans="1:2" ht="18.75">
      <c r="A151" s="3">
        <v>908275578</v>
      </c>
      <c r="B151" s="28" t="s">
        <v>151</v>
      </c>
    </row>
    <row r="152" spans="1:2" ht="18.75">
      <c r="A152" s="3">
        <v>939999121</v>
      </c>
      <c r="B152" s="28" t="s">
        <v>153</v>
      </c>
    </row>
    <row r="153" spans="1:2" ht="18.75">
      <c r="A153" s="3">
        <v>903314043</v>
      </c>
      <c r="B153" s="18" t="s">
        <v>154</v>
      </c>
    </row>
    <row r="154" spans="1:2" ht="16.5">
      <c r="A154" s="8">
        <v>939339239</v>
      </c>
      <c r="B154" s="28" t="s">
        <v>155</v>
      </c>
    </row>
    <row r="155" spans="1:2" ht="18.75">
      <c r="A155" s="3">
        <v>932898901</v>
      </c>
      <c r="B155" s="28" t="s">
        <v>156</v>
      </c>
    </row>
    <row r="156" spans="1:2" ht="18.75">
      <c r="A156" s="3">
        <v>909604401</v>
      </c>
      <c r="B156" s="28" t="s">
        <v>156</v>
      </c>
    </row>
    <row r="157" spans="1:2" ht="18.75">
      <c r="A157" s="3">
        <v>931118184</v>
      </c>
      <c r="B157" s="28" t="s">
        <v>157</v>
      </c>
    </row>
    <row r="158" spans="1:2" ht="18.75">
      <c r="A158" s="3">
        <v>908429290</v>
      </c>
      <c r="B158" s="28" t="s">
        <v>158</v>
      </c>
    </row>
    <row r="159" spans="1:2" ht="18.75">
      <c r="A159" s="3">
        <v>763998377</v>
      </c>
      <c r="B159" s="18" t="s">
        <v>159</v>
      </c>
    </row>
    <row r="160" spans="1:2" ht="18.75">
      <c r="A160" s="3">
        <v>763998773</v>
      </c>
      <c r="B160" s="18" t="s">
        <v>159</v>
      </c>
    </row>
    <row r="161" spans="1:2" ht="18.75">
      <c r="A161" s="3">
        <v>787969665</v>
      </c>
      <c r="B161" s="18" t="s">
        <v>159</v>
      </c>
    </row>
    <row r="162" spans="1:2" ht="18.75">
      <c r="A162" s="3">
        <v>939369138</v>
      </c>
      <c r="B162" s="28" t="s">
        <v>160</v>
      </c>
    </row>
    <row r="163" spans="1:2" ht="18.75">
      <c r="A163" s="3">
        <v>775538689</v>
      </c>
      <c r="B163" s="18" t="s">
        <v>161</v>
      </c>
    </row>
    <row r="164" spans="1:2" ht="18.75">
      <c r="A164" s="3">
        <v>795852222</v>
      </c>
      <c r="B164" s="28" t="s">
        <v>162</v>
      </c>
    </row>
    <row r="165" spans="1:2" ht="18.75">
      <c r="A165" s="3">
        <v>773441111</v>
      </c>
      <c r="B165" s="28" t="s">
        <v>163</v>
      </c>
    </row>
    <row r="166" spans="1:2" ht="18.75">
      <c r="A166" s="3">
        <v>931068439</v>
      </c>
      <c r="B166" s="28" t="s">
        <v>164</v>
      </c>
    </row>
    <row r="167" spans="1:2" ht="18.75">
      <c r="A167" s="3">
        <v>939193297</v>
      </c>
      <c r="B167" s="28" t="s">
        <v>165</v>
      </c>
    </row>
    <row r="168" spans="1:2" ht="18.75">
      <c r="A168" s="3">
        <v>777869345</v>
      </c>
      <c r="B168" s="18" t="s">
        <v>166</v>
      </c>
    </row>
    <row r="169" spans="1:2" ht="18.75">
      <c r="A169" s="3">
        <v>788845345</v>
      </c>
      <c r="B169" s="18" t="s">
        <v>166</v>
      </c>
    </row>
    <row r="170" spans="1:2" ht="18.75">
      <c r="A170" s="3">
        <v>782882833</v>
      </c>
      <c r="B170" s="18" t="s">
        <v>167</v>
      </c>
    </row>
    <row r="171" spans="1:2" ht="18.75">
      <c r="A171" s="3">
        <v>942072244</v>
      </c>
      <c r="B171" s="18" t="s">
        <v>168</v>
      </c>
    </row>
    <row r="172" spans="1:2" ht="18.75">
      <c r="A172" s="3">
        <v>939023488</v>
      </c>
      <c r="B172" s="18" t="s">
        <v>169</v>
      </c>
    </row>
    <row r="173" spans="1:2" ht="18.75">
      <c r="A173" s="3">
        <v>943673344</v>
      </c>
      <c r="B173" s="28" t="s">
        <v>168</v>
      </c>
    </row>
    <row r="174" spans="1:2" ht="18.75">
      <c r="A174" s="3">
        <v>778664664</v>
      </c>
      <c r="B174" s="18" t="s">
        <v>170</v>
      </c>
    </row>
    <row r="175" spans="1:2" ht="18.75">
      <c r="A175" s="3">
        <v>901040568</v>
      </c>
      <c r="B175" s="18" t="s">
        <v>38</v>
      </c>
    </row>
    <row r="176" spans="1:2" ht="18.75">
      <c r="A176" s="3">
        <v>938633589</v>
      </c>
      <c r="B176" s="18" t="s">
        <v>38</v>
      </c>
    </row>
    <row r="177" spans="1:2" ht="18.75">
      <c r="A177" s="3">
        <v>908660885</v>
      </c>
      <c r="B177" s="18" t="s">
        <v>38</v>
      </c>
    </row>
    <row r="178" spans="1:2" ht="18.75">
      <c r="A178" s="3">
        <v>799688778</v>
      </c>
      <c r="B178" s="18" t="s">
        <v>171</v>
      </c>
    </row>
    <row r="179" spans="1:2" ht="18.75">
      <c r="A179" s="27">
        <v>939318308</v>
      </c>
      <c r="B179" s="18" t="s">
        <v>172</v>
      </c>
    </row>
    <row r="180" spans="1:2" ht="18.75">
      <c r="A180" s="3">
        <v>939120964</v>
      </c>
      <c r="B180" s="18" t="s">
        <v>173</v>
      </c>
    </row>
    <row r="181" spans="1:2" ht="18.75">
      <c r="A181" s="3">
        <v>932812977</v>
      </c>
      <c r="B181" s="28" t="s">
        <v>175</v>
      </c>
    </row>
    <row r="182" spans="1:2" ht="18.75">
      <c r="A182" s="3">
        <v>907092379</v>
      </c>
      <c r="B182" s="28" t="s">
        <v>176</v>
      </c>
    </row>
    <row r="183" spans="1:2" ht="18.75">
      <c r="A183" s="3">
        <v>933066004</v>
      </c>
      <c r="B183" s="28" t="s">
        <v>177</v>
      </c>
    </row>
    <row r="184" spans="1:2" ht="18.75">
      <c r="A184" s="3">
        <v>796877810</v>
      </c>
      <c r="B184" s="28" t="s">
        <v>178</v>
      </c>
    </row>
    <row r="185" spans="1:2" ht="18.75">
      <c r="A185" s="3">
        <v>939593392</v>
      </c>
      <c r="B185" s="18" t="s">
        <v>173</v>
      </c>
    </row>
    <row r="186" spans="1:2" ht="18.75">
      <c r="A186" s="3">
        <v>932874864</v>
      </c>
      <c r="B186" s="28" t="s">
        <v>179</v>
      </c>
    </row>
    <row r="187" spans="1:2" ht="19.5">
      <c r="A187" s="3">
        <v>899167869</v>
      </c>
      <c r="B187" s="54" t="s">
        <v>180</v>
      </c>
    </row>
    <row r="188" spans="1:2" ht="18.75">
      <c r="A188" s="1">
        <v>939422136</v>
      </c>
      <c r="B188" s="55" t="s">
        <v>181</v>
      </c>
    </row>
    <row r="189" spans="1:2" ht="18.75">
      <c r="A189" s="36">
        <v>907832404</v>
      </c>
      <c r="B189" s="56" t="s">
        <v>182</v>
      </c>
    </row>
    <row r="190" spans="1:2" ht="18.75">
      <c r="A190" s="36">
        <v>939499008</v>
      </c>
      <c r="B190" s="57" t="s">
        <v>183</v>
      </c>
    </row>
    <row r="191" spans="1:2" ht="18.75">
      <c r="A191" s="36">
        <v>783856779</v>
      </c>
      <c r="B191" s="57" t="s">
        <v>0</v>
      </c>
    </row>
    <row r="192" spans="1:2" ht="18.75">
      <c r="A192" s="3">
        <v>931091686</v>
      </c>
      <c r="B192" s="33" t="s">
        <v>7</v>
      </c>
    </row>
    <row r="193" spans="1:2" ht="18.75">
      <c r="A193" s="3">
        <v>907613686</v>
      </c>
      <c r="B193" s="18" t="s">
        <v>7</v>
      </c>
    </row>
    <row r="194" spans="1:2" ht="18.75">
      <c r="A194" s="3">
        <v>939294334</v>
      </c>
      <c r="B194" s="28" t="s">
        <v>184</v>
      </c>
    </row>
    <row r="195" spans="1:2" ht="18.75">
      <c r="A195" s="1">
        <v>783799099</v>
      </c>
      <c r="B195" s="58" t="s">
        <v>185</v>
      </c>
    </row>
    <row r="196" spans="1:2" ht="18.75">
      <c r="A196" s="36">
        <v>794384630</v>
      </c>
      <c r="B196" s="56" t="s">
        <v>186</v>
      </c>
    </row>
    <row r="197" spans="1:2" ht="18.75">
      <c r="A197" s="3">
        <v>939772712</v>
      </c>
      <c r="B197" s="28" t="s">
        <v>187</v>
      </c>
    </row>
    <row r="198" spans="1:2" ht="18.75">
      <c r="A198" s="3">
        <v>901008988</v>
      </c>
      <c r="B198" s="18" t="s">
        <v>188</v>
      </c>
    </row>
    <row r="199" spans="1:2" ht="18.75">
      <c r="A199" s="1">
        <v>907602719</v>
      </c>
      <c r="B199" s="58" t="s">
        <v>189</v>
      </c>
    </row>
    <row r="200" spans="1:2" ht="18.75">
      <c r="A200" s="61">
        <v>776505199</v>
      </c>
      <c r="B200" s="62" t="s">
        <v>190</v>
      </c>
    </row>
    <row r="201" spans="1:2" ht="18.75">
      <c r="A201" s="1">
        <v>704116115</v>
      </c>
      <c r="B201" s="58" t="s">
        <v>191</v>
      </c>
    </row>
    <row r="202" spans="1:2" ht="18.75">
      <c r="A202" s="36">
        <v>901275939</v>
      </c>
      <c r="B202" s="56" t="s">
        <v>192</v>
      </c>
    </row>
    <row r="203" spans="1:2" ht="18.75">
      <c r="A203" s="36">
        <v>787924778</v>
      </c>
      <c r="B203" s="56" t="s">
        <v>193</v>
      </c>
    </row>
    <row r="204" spans="1:2" ht="18.75">
      <c r="A204" s="36">
        <v>907856494</v>
      </c>
      <c r="B204" s="57" t="s">
        <v>195</v>
      </c>
    </row>
    <row r="205" spans="1:2" ht="18.75">
      <c r="A205" s="36">
        <v>907980979</v>
      </c>
      <c r="B205" s="57" t="s">
        <v>195</v>
      </c>
    </row>
    <row r="206" spans="1:2" ht="18.75">
      <c r="A206" s="36">
        <v>939404139</v>
      </c>
      <c r="B206" s="56" t="s">
        <v>196</v>
      </c>
    </row>
    <row r="207" spans="1:2" ht="18.75">
      <c r="A207" s="36">
        <v>898058958</v>
      </c>
      <c r="B207" s="56" t="s">
        <v>197</v>
      </c>
    </row>
    <row r="208" spans="1:2" ht="18.75">
      <c r="A208" s="36">
        <v>907998556</v>
      </c>
      <c r="B208" s="56" t="s">
        <v>198</v>
      </c>
    </row>
    <row r="209" spans="1:2" ht="18.75">
      <c r="A209" s="36">
        <v>939119950</v>
      </c>
      <c r="B209" s="57" t="s">
        <v>199</v>
      </c>
    </row>
    <row r="210" spans="1:2" ht="18.75">
      <c r="A210" s="36">
        <v>908785535</v>
      </c>
      <c r="B210" s="56" t="s">
        <v>200</v>
      </c>
    </row>
    <row r="211" spans="1:2" ht="18.75">
      <c r="A211" s="36">
        <v>907306902</v>
      </c>
      <c r="B211" s="57" t="s">
        <v>201</v>
      </c>
    </row>
    <row r="212" spans="1:2" ht="18.75">
      <c r="A212" s="36">
        <v>939469442</v>
      </c>
      <c r="B212" s="57" t="s">
        <v>202</v>
      </c>
    </row>
    <row r="213" spans="1:2" ht="18.75">
      <c r="A213" s="36">
        <v>939672255</v>
      </c>
      <c r="B213" s="57" t="s">
        <v>203</v>
      </c>
    </row>
    <row r="214" spans="1:2" ht="18.75">
      <c r="A214" s="36">
        <v>907973524</v>
      </c>
      <c r="B214" s="56" t="s">
        <v>204</v>
      </c>
    </row>
    <row r="215" spans="1:2" ht="18.75">
      <c r="A215" s="36">
        <v>939311223</v>
      </c>
      <c r="B215" s="56" t="s">
        <v>205</v>
      </c>
    </row>
    <row r="216" spans="1:2" ht="18.75">
      <c r="A216" s="36">
        <v>939938179</v>
      </c>
      <c r="B216" s="56" t="s">
        <v>206</v>
      </c>
    </row>
    <row r="217" spans="1:2" ht="18.75">
      <c r="A217" s="36">
        <v>932098059</v>
      </c>
      <c r="B217" s="56" t="s">
        <v>207</v>
      </c>
    </row>
    <row r="218" spans="1:2" ht="18.75">
      <c r="A218" s="36">
        <v>939618156</v>
      </c>
      <c r="B218" s="56" t="s">
        <v>208</v>
      </c>
    </row>
    <row r="219" spans="1:2" ht="18.75">
      <c r="A219" s="36">
        <v>939323489</v>
      </c>
      <c r="B219" s="56" t="s">
        <v>209</v>
      </c>
    </row>
    <row r="220" spans="1:2" ht="18.75">
      <c r="A220" s="36">
        <v>939674979</v>
      </c>
      <c r="B220" s="57" t="s">
        <v>210</v>
      </c>
    </row>
    <row r="221" spans="1:2" ht="18.75">
      <c r="A221" s="36">
        <v>909938881</v>
      </c>
      <c r="B221" s="57" t="s">
        <v>211</v>
      </c>
    </row>
    <row r="222" spans="1:2" ht="18.75">
      <c r="A222" s="36">
        <v>939090806</v>
      </c>
      <c r="B222" s="56" t="s">
        <v>212</v>
      </c>
    </row>
    <row r="223" spans="1:2" ht="18.75">
      <c r="A223" s="36">
        <v>939515291</v>
      </c>
      <c r="B223" s="56" t="s">
        <v>213</v>
      </c>
    </row>
    <row r="224" spans="1:2" ht="18.75">
      <c r="A224" s="36">
        <v>939791979</v>
      </c>
      <c r="B224" s="56" t="s">
        <v>214</v>
      </c>
    </row>
    <row r="225" spans="1:2" ht="18.75">
      <c r="A225" s="36">
        <v>931031199</v>
      </c>
      <c r="B225" s="57" t="s">
        <v>30</v>
      </c>
    </row>
    <row r="226" spans="1:2" ht="18.75">
      <c r="A226" s="36">
        <v>939491199</v>
      </c>
      <c r="B226" s="57" t="s">
        <v>30</v>
      </c>
    </row>
    <row r="227" spans="1:2" ht="18.75">
      <c r="A227" s="36">
        <v>779867879</v>
      </c>
      <c r="B227" s="64" t="s">
        <v>30</v>
      </c>
    </row>
    <row r="228" spans="1:2" ht="18.75">
      <c r="A228" s="36">
        <v>793911388</v>
      </c>
      <c r="B228" s="56" t="s">
        <v>215</v>
      </c>
    </row>
    <row r="229" spans="1:2" ht="18.75">
      <c r="A229" s="36">
        <v>901029299</v>
      </c>
      <c r="B229" s="56" t="s">
        <v>215</v>
      </c>
    </row>
    <row r="230" spans="1:2" ht="18.75">
      <c r="A230" s="65">
        <v>901079299</v>
      </c>
      <c r="B230" s="66" t="s">
        <v>215</v>
      </c>
    </row>
    <row r="231" spans="1:2" ht="18.75">
      <c r="A231" s="36">
        <v>907071312</v>
      </c>
      <c r="B231" s="56" t="s">
        <v>216</v>
      </c>
    </row>
    <row r="232" spans="1:2" ht="18.75">
      <c r="A232" s="36">
        <v>939724729</v>
      </c>
      <c r="B232" s="56" t="s">
        <v>217</v>
      </c>
    </row>
    <row r="233" spans="1:2" ht="18.75">
      <c r="A233" s="3">
        <v>932919290</v>
      </c>
      <c r="B233" s="41" t="s">
        <v>217</v>
      </c>
    </row>
    <row r="234" spans="1:2" ht="18.75">
      <c r="A234" s="1">
        <v>901273337</v>
      </c>
      <c r="B234" s="67" t="s">
        <v>218</v>
      </c>
    </row>
    <row r="235" spans="1:2" ht="18.75">
      <c r="A235" s="36">
        <v>939987111</v>
      </c>
      <c r="B235" s="56" t="s">
        <v>218</v>
      </c>
    </row>
    <row r="236" spans="1:2" ht="18.75">
      <c r="A236" s="36">
        <v>899050439</v>
      </c>
      <c r="B236" s="56" t="s">
        <v>219</v>
      </c>
    </row>
    <row r="237" spans="1:2" ht="18.75">
      <c r="A237" s="36">
        <v>908261777</v>
      </c>
      <c r="B237" s="56" t="s">
        <v>220</v>
      </c>
    </row>
    <row r="238" spans="1:2" ht="18.75">
      <c r="A238" s="36">
        <v>939857769</v>
      </c>
      <c r="B238" s="56" t="s">
        <v>221</v>
      </c>
    </row>
    <row r="239" spans="1:2" ht="18.75">
      <c r="A239" s="36">
        <v>931037868</v>
      </c>
      <c r="B239" s="56" t="s">
        <v>222</v>
      </c>
    </row>
    <row r="240" spans="1:2" ht="18.75">
      <c r="A240" s="36">
        <v>939962457</v>
      </c>
      <c r="B240" s="56" t="s">
        <v>223</v>
      </c>
    </row>
    <row r="241" spans="1:2" ht="18.75">
      <c r="A241" s="36">
        <v>898818809</v>
      </c>
      <c r="B241" s="56" t="s">
        <v>224</v>
      </c>
    </row>
    <row r="242" spans="1:2" ht="18.75">
      <c r="A242" s="36">
        <v>939858918</v>
      </c>
      <c r="B242" s="56" t="s">
        <v>225</v>
      </c>
    </row>
    <row r="243" spans="1:2" ht="18.75">
      <c r="A243" s="36">
        <v>932920400</v>
      </c>
      <c r="B243" s="56" t="s">
        <v>226</v>
      </c>
    </row>
    <row r="244" spans="1:2" ht="18.75">
      <c r="A244" s="36">
        <v>902670400</v>
      </c>
      <c r="B244" s="56" t="s">
        <v>226</v>
      </c>
    </row>
    <row r="245" spans="1:2" ht="18.75">
      <c r="A245" s="36">
        <v>939767917</v>
      </c>
      <c r="B245" s="56" t="s">
        <v>227</v>
      </c>
    </row>
    <row r="246" spans="1:2" ht="18.75">
      <c r="A246" s="36">
        <v>907998131</v>
      </c>
      <c r="B246" s="56" t="s">
        <v>228</v>
      </c>
    </row>
    <row r="247" spans="1:2" ht="18.75">
      <c r="A247" s="36">
        <v>939793666</v>
      </c>
      <c r="B247" s="56" t="s">
        <v>229</v>
      </c>
    </row>
    <row r="248" spans="1:2" ht="18.75">
      <c r="A248" s="36">
        <v>939994897</v>
      </c>
      <c r="B248" s="56" t="s">
        <v>230</v>
      </c>
    </row>
    <row r="249" spans="1:2" ht="18.75">
      <c r="A249" s="36">
        <v>939696834</v>
      </c>
      <c r="B249" s="57" t="s">
        <v>231</v>
      </c>
    </row>
    <row r="250" spans="1:2" ht="18.75">
      <c r="A250" s="36">
        <v>909987676</v>
      </c>
      <c r="B250" s="56" t="s">
        <v>232</v>
      </c>
    </row>
    <row r="251" spans="1:2" ht="18.75">
      <c r="A251" s="36">
        <v>939591190</v>
      </c>
      <c r="B251" s="56" t="s">
        <v>233</v>
      </c>
    </row>
    <row r="252" spans="1:2" ht="18.75">
      <c r="A252" s="36">
        <v>939969091</v>
      </c>
      <c r="B252" s="56" t="s">
        <v>234</v>
      </c>
    </row>
    <row r="253" spans="1:2" ht="18.75">
      <c r="A253" s="36">
        <v>939199268</v>
      </c>
      <c r="B253" s="56" t="s">
        <v>235</v>
      </c>
    </row>
    <row r="254" spans="1:2" ht="18.75">
      <c r="A254" s="68">
        <v>899494833</v>
      </c>
      <c r="B254" s="41" t="s">
        <v>235</v>
      </c>
    </row>
    <row r="255" spans="1:2" ht="18.75">
      <c r="A255" s="1">
        <v>798070727</v>
      </c>
      <c r="B255" s="67" t="s">
        <v>236</v>
      </c>
    </row>
    <row r="256" spans="1:2" ht="18.75">
      <c r="A256" s="3">
        <v>939085339</v>
      </c>
      <c r="B256" s="42" t="s">
        <v>237</v>
      </c>
    </row>
    <row r="257" spans="1:2" ht="18.75">
      <c r="A257" s="3">
        <v>908929618</v>
      </c>
      <c r="B257" s="28" t="s">
        <v>238</v>
      </c>
    </row>
    <row r="258" spans="1:2" ht="18.75">
      <c r="A258" s="3">
        <v>903022161</v>
      </c>
      <c r="B258" s="28" t="s">
        <v>239</v>
      </c>
    </row>
    <row r="259" spans="1:2" ht="18.75">
      <c r="A259" s="3">
        <v>932160187</v>
      </c>
      <c r="B259" s="28" t="s">
        <v>240</v>
      </c>
    </row>
    <row r="260" spans="1:2" ht="18.75">
      <c r="A260" s="3">
        <v>907604113</v>
      </c>
      <c r="B260" s="33" t="s">
        <v>241</v>
      </c>
    </row>
    <row r="261" spans="1:2" ht="18.75">
      <c r="A261" s="1">
        <v>939189755</v>
      </c>
      <c r="B261" s="67" t="s">
        <v>242</v>
      </c>
    </row>
    <row r="262" spans="1:2" ht="18.75">
      <c r="A262" s="36">
        <v>796969659</v>
      </c>
      <c r="B262" s="57" t="s">
        <v>243</v>
      </c>
    </row>
    <row r="263" spans="1:2" ht="18.75">
      <c r="A263" s="36">
        <v>939946379</v>
      </c>
      <c r="B263" s="56" t="s">
        <v>244</v>
      </c>
    </row>
    <row r="264" spans="1:2" ht="18.75">
      <c r="A264" s="36">
        <v>908288927</v>
      </c>
      <c r="B264" s="56" t="s">
        <v>245</v>
      </c>
    </row>
    <row r="265" spans="1:2" ht="18.75">
      <c r="A265" s="36">
        <v>901062067</v>
      </c>
      <c r="B265" s="56" t="s">
        <v>246</v>
      </c>
    </row>
    <row r="266" spans="1:2" ht="18.75">
      <c r="A266" s="36">
        <v>901284489</v>
      </c>
      <c r="B266" s="56" t="s">
        <v>247</v>
      </c>
    </row>
    <row r="267" spans="1:2" ht="18.75">
      <c r="A267" s="70">
        <v>706706038</v>
      </c>
      <c r="B267" s="71" t="s">
        <v>248</v>
      </c>
    </row>
    <row r="268" spans="1:2" ht="18.75">
      <c r="A268" s="36">
        <v>932999771</v>
      </c>
      <c r="B268" s="56" t="s">
        <v>249</v>
      </c>
    </row>
    <row r="269" spans="1:2" ht="18.75">
      <c r="A269" s="3">
        <v>939349229</v>
      </c>
      <c r="B269" s="28" t="s">
        <v>250</v>
      </c>
    </row>
    <row r="270" spans="1:2" ht="18.75">
      <c r="A270" s="3">
        <v>909366936</v>
      </c>
      <c r="B270" s="28" t="s">
        <v>251</v>
      </c>
    </row>
    <row r="271" spans="1:2" ht="18.75">
      <c r="A271" s="3">
        <v>907569991</v>
      </c>
      <c r="B271" s="28" t="s">
        <v>252</v>
      </c>
    </row>
    <row r="272" spans="1:2" ht="18.75">
      <c r="A272" s="3">
        <v>902329258</v>
      </c>
      <c r="B272" s="28" t="s">
        <v>253</v>
      </c>
    </row>
    <row r="273" spans="1:2" ht="18.75">
      <c r="A273" s="3">
        <v>706610336</v>
      </c>
      <c r="B273" s="28" t="s">
        <v>254</v>
      </c>
    </row>
    <row r="274" spans="1:2" ht="18.75">
      <c r="A274" s="1">
        <v>907101268</v>
      </c>
      <c r="B274" s="58" t="s">
        <v>255</v>
      </c>
    </row>
    <row r="275" spans="1:2" ht="18.75">
      <c r="A275" s="3">
        <v>902417359</v>
      </c>
      <c r="B275" s="28" t="s">
        <v>256</v>
      </c>
    </row>
    <row r="276" spans="1:2" ht="18.75">
      <c r="A276" s="3">
        <v>939945943</v>
      </c>
      <c r="B276" s="18" t="s">
        <v>257</v>
      </c>
    </row>
    <row r="277" spans="1:2" ht="18.75">
      <c r="A277" s="3">
        <v>902542351</v>
      </c>
      <c r="B277" s="18" t="s">
        <v>258</v>
      </c>
    </row>
    <row r="278" spans="1:2" ht="18.75">
      <c r="A278" s="3">
        <v>939070964</v>
      </c>
      <c r="B278" s="28" t="s">
        <v>259</v>
      </c>
    </row>
    <row r="279" spans="1:2" ht="18.75">
      <c r="A279" s="3">
        <v>788877234</v>
      </c>
      <c r="B279" s="18" t="s">
        <v>31</v>
      </c>
    </row>
    <row r="280" spans="1:2" ht="18.75">
      <c r="A280" s="3">
        <v>932861974</v>
      </c>
      <c r="B280" s="18" t="s">
        <v>31</v>
      </c>
    </row>
    <row r="281" spans="1:2" ht="18.75">
      <c r="A281" s="3">
        <v>939537375</v>
      </c>
      <c r="B281" s="18" t="s">
        <v>261</v>
      </c>
    </row>
    <row r="282" spans="1:2" ht="18.75">
      <c r="A282" s="75">
        <v>939441688</v>
      </c>
      <c r="B282" s="76" t="s">
        <v>262</v>
      </c>
    </row>
    <row r="283" spans="1:2" ht="18.75">
      <c r="A283" s="36">
        <v>767669049</v>
      </c>
      <c r="B283" s="56" t="s">
        <v>263</v>
      </c>
    </row>
    <row r="284" spans="1:2" ht="18.75">
      <c r="A284" s="36">
        <v>939094494</v>
      </c>
      <c r="B284" s="56" t="s">
        <v>264</v>
      </c>
    </row>
    <row r="285" spans="1:2" ht="18.75">
      <c r="A285" s="3">
        <v>904496146</v>
      </c>
      <c r="B285" s="18" t="s">
        <v>265</v>
      </c>
    </row>
    <row r="286" spans="1:2" ht="18.75">
      <c r="A286" s="1">
        <v>907095968</v>
      </c>
      <c r="B286" s="58" t="s">
        <v>266</v>
      </c>
    </row>
    <row r="287" spans="1:2" ht="18.75">
      <c r="A287" s="36">
        <v>939412529</v>
      </c>
      <c r="B287" s="57" t="s">
        <v>267</v>
      </c>
    </row>
    <row r="288" spans="1:2" ht="18.75">
      <c r="A288" s="3">
        <v>939995455</v>
      </c>
      <c r="B288" s="18" t="s">
        <v>268</v>
      </c>
    </row>
    <row r="289" spans="1:2" ht="18.75">
      <c r="A289" s="3">
        <v>939706769</v>
      </c>
      <c r="B289" s="77" t="s">
        <v>269</v>
      </c>
    </row>
    <row r="290" spans="1:2" ht="18.75">
      <c r="A290" s="3">
        <v>772100168</v>
      </c>
      <c r="B290" s="28" t="s">
        <v>270</v>
      </c>
    </row>
    <row r="291" spans="1:2" ht="18.75">
      <c r="A291" s="3">
        <v>763211616</v>
      </c>
      <c r="B291" s="28" t="s">
        <v>271</v>
      </c>
    </row>
    <row r="292" spans="1:2" ht="18.75">
      <c r="A292" s="3">
        <v>777701923</v>
      </c>
      <c r="B292" s="18" t="s">
        <v>272</v>
      </c>
    </row>
    <row r="293" spans="1:2" ht="18.75">
      <c r="A293" s="3">
        <v>907883359</v>
      </c>
      <c r="B293" s="28" t="s">
        <v>273</v>
      </c>
    </row>
    <row r="294" spans="1:2" ht="18.75">
      <c r="A294" s="3">
        <v>907738388</v>
      </c>
      <c r="B294" s="18" t="s">
        <v>274</v>
      </c>
    </row>
    <row r="295" spans="1:2" ht="18.75">
      <c r="A295" s="3">
        <v>766813900</v>
      </c>
      <c r="B295" s="18" t="s">
        <v>275</v>
      </c>
    </row>
    <row r="296" spans="1:2" ht="18.75">
      <c r="A296" s="3">
        <v>932884946</v>
      </c>
      <c r="B296" s="18" t="s">
        <v>276</v>
      </c>
    </row>
    <row r="297" spans="1:2" ht="18.75">
      <c r="A297" s="68">
        <v>936343799</v>
      </c>
      <c r="B297" s="41" t="s">
        <v>277</v>
      </c>
    </row>
    <row r="298" spans="1:2" ht="18.75">
      <c r="A298" s="3">
        <v>939627045</v>
      </c>
      <c r="B298" s="42" t="s">
        <v>278</v>
      </c>
    </row>
    <row r="299" spans="1:2" ht="18.75">
      <c r="A299" s="68">
        <v>905252689</v>
      </c>
      <c r="B299" s="41" t="s">
        <v>279</v>
      </c>
    </row>
    <row r="300" spans="1:2" ht="18.75">
      <c r="A300" s="3">
        <v>939528128</v>
      </c>
      <c r="B300" s="28" t="s">
        <v>280</v>
      </c>
    </row>
    <row r="301" spans="1:2" ht="18.75">
      <c r="A301" s="3">
        <v>907703739</v>
      </c>
      <c r="B301" s="28" t="s">
        <v>281</v>
      </c>
    </row>
    <row r="302" spans="1:2" ht="18.75">
      <c r="A302" s="3">
        <v>787931562</v>
      </c>
      <c r="B302" s="28" t="s">
        <v>282</v>
      </c>
    </row>
    <row r="303" spans="1:2" ht="18.75">
      <c r="A303" s="3">
        <v>907819373</v>
      </c>
      <c r="B303" s="28" t="s">
        <v>283</v>
      </c>
    </row>
    <row r="304" spans="1:2" ht="18.75">
      <c r="A304" s="1">
        <v>909353464</v>
      </c>
      <c r="B304" s="2" t="s">
        <v>284</v>
      </c>
    </row>
    <row r="305" spans="1:2" ht="19.5">
      <c r="A305" s="3">
        <v>937456721</v>
      </c>
      <c r="B305" s="54" t="s">
        <v>285</v>
      </c>
    </row>
    <row r="306" spans="1:2" ht="18.75">
      <c r="A306" s="1">
        <v>939315606</v>
      </c>
      <c r="B306" s="67" t="s">
        <v>286</v>
      </c>
    </row>
    <row r="307" spans="1:2" ht="18.75">
      <c r="A307" s="36">
        <v>794350293</v>
      </c>
      <c r="B307" s="56" t="s">
        <v>286</v>
      </c>
    </row>
    <row r="308" spans="1:2" ht="18.75">
      <c r="A308" s="36">
        <v>349034363</v>
      </c>
      <c r="B308" s="56" t="s">
        <v>286</v>
      </c>
    </row>
    <row r="309" spans="1:2" ht="18.75">
      <c r="A309" s="36">
        <v>907768389</v>
      </c>
      <c r="B309" s="56" t="s">
        <v>287</v>
      </c>
    </row>
    <row r="310" spans="1:2" ht="18.75">
      <c r="A310" s="36">
        <v>939419839</v>
      </c>
      <c r="B310" s="56" t="s">
        <v>288</v>
      </c>
    </row>
    <row r="311" spans="1:2" ht="18.75">
      <c r="A311" s="36">
        <v>766973339</v>
      </c>
      <c r="B311" s="56" t="s">
        <v>289</v>
      </c>
    </row>
    <row r="312" spans="1:2" ht="18.75">
      <c r="A312" s="36">
        <v>907311279</v>
      </c>
      <c r="B312" s="56" t="s">
        <v>290</v>
      </c>
    </row>
    <row r="313" spans="1:2" ht="18.75">
      <c r="A313" s="36">
        <v>766875544</v>
      </c>
      <c r="B313" s="56" t="s">
        <v>291</v>
      </c>
    </row>
    <row r="314" spans="1:2" ht="18.75">
      <c r="A314" s="36">
        <v>905522552</v>
      </c>
      <c r="B314" s="56" t="s">
        <v>292</v>
      </c>
    </row>
    <row r="315" spans="1:2" ht="18.75">
      <c r="A315" s="36">
        <v>939378947</v>
      </c>
      <c r="B315" s="56" t="s">
        <v>293</v>
      </c>
    </row>
    <row r="316" spans="1:2" ht="18.75">
      <c r="A316" s="36">
        <v>939000349</v>
      </c>
      <c r="B316" s="57" t="s">
        <v>294</v>
      </c>
    </row>
    <row r="317" spans="1:2" ht="18.75">
      <c r="A317" s="36">
        <v>939933400</v>
      </c>
      <c r="B317" s="56" t="s">
        <v>295</v>
      </c>
    </row>
    <row r="318" spans="1:2" ht="18.75">
      <c r="A318" s="36">
        <v>789639979</v>
      </c>
      <c r="B318" s="56" t="s">
        <v>296</v>
      </c>
    </row>
    <row r="319" spans="1:2" ht="18.75">
      <c r="A319" s="36">
        <v>902426346</v>
      </c>
      <c r="B319" s="78" t="s">
        <v>297</v>
      </c>
    </row>
    <row r="320" spans="1:2" ht="18.75">
      <c r="A320" s="70">
        <v>901508510</v>
      </c>
      <c r="B320" s="71" t="s">
        <v>297</v>
      </c>
    </row>
    <row r="321" spans="1:2" ht="18.75">
      <c r="A321" s="36">
        <v>786912626</v>
      </c>
      <c r="B321" s="56" t="s">
        <v>298</v>
      </c>
    </row>
    <row r="322" spans="1:2" ht="18.75">
      <c r="A322" s="36">
        <v>793952828</v>
      </c>
      <c r="B322" s="56" t="s">
        <v>298</v>
      </c>
    </row>
    <row r="323" spans="1:2" ht="18.75">
      <c r="A323" s="36">
        <v>798024668</v>
      </c>
      <c r="B323" s="78" t="s">
        <v>299</v>
      </c>
    </row>
    <row r="324" spans="1:2" ht="18.75">
      <c r="A324" s="36">
        <v>786866266</v>
      </c>
      <c r="B324" s="78" t="s">
        <v>299</v>
      </c>
    </row>
    <row r="325" spans="1:2" ht="18.75">
      <c r="A325" s="36">
        <v>939738736</v>
      </c>
      <c r="B325" s="56" t="s">
        <v>300</v>
      </c>
    </row>
    <row r="326" spans="1:2" ht="18.75">
      <c r="A326" s="36">
        <v>901210900</v>
      </c>
      <c r="B326" s="57" t="s">
        <v>301</v>
      </c>
    </row>
    <row r="327" spans="1:2" ht="18.75">
      <c r="A327" s="36">
        <v>939361611</v>
      </c>
      <c r="B327" s="78" t="s">
        <v>302</v>
      </c>
    </row>
    <row r="328" spans="1:2" ht="18.75">
      <c r="A328" s="36">
        <v>766883381</v>
      </c>
      <c r="B328" s="78" t="s">
        <v>302</v>
      </c>
    </row>
    <row r="329" spans="1:2" ht="18.75">
      <c r="A329" s="36">
        <v>795866114</v>
      </c>
      <c r="B329" s="78" t="s">
        <v>303</v>
      </c>
    </row>
    <row r="330" spans="1:2" ht="18.75">
      <c r="A330" s="36">
        <v>907652568</v>
      </c>
      <c r="B330" s="57" t="s">
        <v>304</v>
      </c>
    </row>
    <row r="331" spans="1:2" ht="18.75">
      <c r="A331" s="36">
        <v>907880026</v>
      </c>
      <c r="B331" s="78" t="s">
        <v>305</v>
      </c>
    </row>
    <row r="332" spans="1:2" ht="18.75">
      <c r="A332" s="36">
        <v>899507261</v>
      </c>
      <c r="B332" s="56" t="s">
        <v>306</v>
      </c>
    </row>
    <row r="333" spans="1:2" ht="18.75">
      <c r="A333" s="36">
        <v>939130478</v>
      </c>
      <c r="B333" s="57" t="s">
        <v>307</v>
      </c>
    </row>
    <row r="334" spans="1:2" ht="18.75">
      <c r="A334" s="36">
        <v>931051686</v>
      </c>
      <c r="B334" s="56" t="s">
        <v>308</v>
      </c>
    </row>
    <row r="335" spans="1:2" ht="18.75">
      <c r="A335" s="36">
        <v>789666939</v>
      </c>
      <c r="B335" s="56" t="s">
        <v>309</v>
      </c>
    </row>
    <row r="336" spans="1:2" ht="18.75">
      <c r="A336" s="36">
        <v>939772539</v>
      </c>
      <c r="B336" s="56" t="s">
        <v>310</v>
      </c>
    </row>
    <row r="337" spans="1:2" ht="18.75">
      <c r="A337" s="36">
        <v>931025529</v>
      </c>
      <c r="B337" s="80" t="s">
        <v>311</v>
      </c>
    </row>
    <row r="338" spans="1:2" ht="18.75">
      <c r="A338" s="36">
        <v>909325529</v>
      </c>
      <c r="B338" s="80" t="s">
        <v>311</v>
      </c>
    </row>
    <row r="339" spans="1:2" ht="18.75">
      <c r="A339" s="36">
        <v>909825529</v>
      </c>
      <c r="B339" s="80" t="s">
        <v>311</v>
      </c>
    </row>
    <row r="340" spans="1:2" ht="18.75">
      <c r="A340" s="3">
        <v>977283949</v>
      </c>
      <c r="B340" s="81" t="s">
        <v>312</v>
      </c>
    </row>
    <row r="341" spans="1:2" ht="18.75">
      <c r="A341" s="3">
        <v>939359580</v>
      </c>
      <c r="B341" s="81" t="s">
        <v>313</v>
      </c>
    </row>
    <row r="342" spans="1:2" ht="18.75">
      <c r="A342" s="3">
        <v>939092010</v>
      </c>
      <c r="B342" s="83" t="s">
        <v>6</v>
      </c>
    </row>
    <row r="343" spans="1:2" ht="18.75">
      <c r="A343" s="3">
        <v>793976768</v>
      </c>
      <c r="B343" s="46" t="s">
        <v>180</v>
      </c>
    </row>
    <row r="344" spans="1:2" ht="18.75">
      <c r="A344" s="3">
        <v>783922979</v>
      </c>
      <c r="B344" s="42" t="s">
        <v>180</v>
      </c>
    </row>
    <row r="345" spans="1:2" ht="18.75">
      <c r="A345" s="3">
        <v>939233669</v>
      </c>
      <c r="B345" s="18" t="s">
        <v>314</v>
      </c>
    </row>
    <row r="346" spans="1:2" ht="18.75">
      <c r="A346" s="3">
        <v>931010215</v>
      </c>
      <c r="B346" s="28" t="s">
        <v>315</v>
      </c>
    </row>
    <row r="347" spans="1:2" ht="18.75">
      <c r="A347" s="86">
        <v>782818186</v>
      </c>
      <c r="B347" s="67" t="s">
        <v>317</v>
      </c>
    </row>
    <row r="348" spans="1:2" ht="18.75">
      <c r="A348" s="65">
        <v>909114989</v>
      </c>
      <c r="B348" s="56" t="s">
        <v>317</v>
      </c>
    </row>
    <row r="349" spans="1:2" ht="18.75">
      <c r="A349" s="65">
        <v>907603189</v>
      </c>
      <c r="B349" s="56" t="s">
        <v>317</v>
      </c>
    </row>
    <row r="350" spans="1:2" ht="19.5">
      <c r="A350" s="87">
        <v>794333331</v>
      </c>
      <c r="B350" s="57" t="s">
        <v>318</v>
      </c>
    </row>
    <row r="351" spans="1:2" ht="19.5">
      <c r="A351" s="87">
        <v>939373331</v>
      </c>
      <c r="B351" s="57" t="s">
        <v>318</v>
      </c>
    </row>
    <row r="352" spans="1:2" ht="18.75">
      <c r="A352" s="65">
        <v>774330333</v>
      </c>
      <c r="B352" s="56" t="s">
        <v>318</v>
      </c>
    </row>
    <row r="353" spans="1:2" ht="18.75">
      <c r="A353" s="65">
        <v>774331333</v>
      </c>
      <c r="B353" s="56" t="s">
        <v>318</v>
      </c>
    </row>
    <row r="354" spans="1:2" ht="19.5">
      <c r="A354" s="87">
        <v>977219849</v>
      </c>
      <c r="B354" s="57" t="s">
        <v>318</v>
      </c>
    </row>
    <row r="355" spans="1:2" ht="14.25">
      <c r="A355" s="88">
        <v>931930409</v>
      </c>
      <c r="B355" s="89" t="s">
        <v>319</v>
      </c>
    </row>
    <row r="356" spans="1:2" ht="14.25">
      <c r="A356" s="88">
        <v>931413007</v>
      </c>
      <c r="B356" s="89" t="s">
        <v>319</v>
      </c>
    </row>
    <row r="357" spans="1:2" ht="14.25">
      <c r="A357" s="88">
        <v>901040990</v>
      </c>
      <c r="B357" s="89" t="s">
        <v>319</v>
      </c>
    </row>
    <row r="358" spans="1:2" ht="14.25">
      <c r="A358" s="88">
        <v>788897676</v>
      </c>
      <c r="B358" s="89" t="s">
        <v>320</v>
      </c>
    </row>
    <row r="359" spans="1:2" ht="14.25">
      <c r="A359" s="88">
        <v>782836699</v>
      </c>
      <c r="B359" s="89" t="s">
        <v>320</v>
      </c>
    </row>
    <row r="360" spans="1:2" ht="18.75">
      <c r="A360" s="36">
        <v>766885556</v>
      </c>
      <c r="B360" s="78" t="s">
        <v>321</v>
      </c>
    </row>
    <row r="361" spans="1:2" ht="18.75">
      <c r="A361" s="27">
        <v>763222366</v>
      </c>
      <c r="B361" s="28" t="s">
        <v>322</v>
      </c>
    </row>
    <row r="362" spans="1:2" ht="18.75">
      <c r="A362" s="27">
        <v>788883255</v>
      </c>
      <c r="B362" s="28" t="s">
        <v>323</v>
      </c>
    </row>
    <row r="363" spans="1:2" ht="18.75">
      <c r="A363" s="3">
        <v>768361641</v>
      </c>
      <c r="B363" s="90" t="s">
        <v>324</v>
      </c>
    </row>
    <row r="364" spans="1:2" ht="18.75">
      <c r="A364" s="3">
        <v>702896623</v>
      </c>
      <c r="B364" s="90" t="s">
        <v>324</v>
      </c>
    </row>
    <row r="365" spans="1:2" ht="18.75">
      <c r="A365" s="3">
        <v>939282886</v>
      </c>
      <c r="B365" s="42" t="s">
        <v>325</v>
      </c>
    </row>
    <row r="366" spans="1:2" ht="18.75">
      <c r="A366" s="3">
        <v>704747477</v>
      </c>
      <c r="B366" s="90" t="s">
        <v>326</v>
      </c>
    </row>
    <row r="367" spans="1:2" ht="18.75">
      <c r="A367" s="27">
        <v>939633612</v>
      </c>
      <c r="B367" s="18" t="s">
        <v>327</v>
      </c>
    </row>
    <row r="368" spans="1:2" ht="18.75">
      <c r="A368" s="27">
        <v>931130783</v>
      </c>
      <c r="B368" s="28" t="s">
        <v>328</v>
      </c>
    </row>
    <row r="369" spans="1:2" ht="18.75">
      <c r="A369" s="27">
        <v>932955858</v>
      </c>
      <c r="B369" s="18" t="s">
        <v>329</v>
      </c>
    </row>
    <row r="370" spans="1:2" ht="18.75">
      <c r="A370" s="27">
        <v>932829898</v>
      </c>
      <c r="B370" s="18" t="s">
        <v>330</v>
      </c>
    </row>
    <row r="371" spans="1:2" ht="18.75">
      <c r="A371" s="27">
        <v>907646875</v>
      </c>
      <c r="B371" s="28" t="s">
        <v>331</v>
      </c>
    </row>
    <row r="372" spans="1:2" ht="18.75">
      <c r="A372" s="27">
        <v>777292268</v>
      </c>
      <c r="B372" s="18" t="s">
        <v>331</v>
      </c>
    </row>
    <row r="373" spans="1:2" ht="18.75">
      <c r="A373" s="68">
        <v>931081718</v>
      </c>
      <c r="B373" s="41" t="s">
        <v>229</v>
      </c>
    </row>
    <row r="374" spans="1:2" ht="19.5">
      <c r="A374" s="91">
        <v>907895080</v>
      </c>
      <c r="B374" s="92" t="s">
        <v>332</v>
      </c>
    </row>
    <row r="375" spans="1:2" ht="18.75">
      <c r="A375" s="93">
        <v>779807858</v>
      </c>
      <c r="B375" s="94" t="s">
        <v>333</v>
      </c>
    </row>
    <row r="376" spans="1:2" ht="18.75">
      <c r="A376" s="95">
        <v>939231991</v>
      </c>
      <c r="B376" s="96" t="s">
        <v>334</v>
      </c>
    </row>
    <row r="377" spans="1:2" ht="18.75">
      <c r="A377" s="95">
        <v>907747475</v>
      </c>
      <c r="B377" s="96" t="s">
        <v>334</v>
      </c>
    </row>
    <row r="378" spans="1:2" ht="18.75">
      <c r="A378" s="95">
        <v>706708716</v>
      </c>
      <c r="B378" s="96" t="s">
        <v>335</v>
      </c>
    </row>
    <row r="379" spans="1:2" ht="18.75">
      <c r="A379" s="95">
        <v>939892768</v>
      </c>
      <c r="B379" s="96" t="s">
        <v>336</v>
      </c>
    </row>
    <row r="380" spans="1:2" ht="18.75">
      <c r="A380" s="95">
        <v>939031068</v>
      </c>
      <c r="B380" s="96" t="s">
        <v>336</v>
      </c>
    </row>
    <row r="381" spans="1:2" ht="18.75">
      <c r="A381" s="95">
        <v>939067079</v>
      </c>
      <c r="B381" s="96" t="s">
        <v>337</v>
      </c>
    </row>
    <row r="382" spans="1:2" ht="18.75">
      <c r="A382" s="27">
        <v>911468998</v>
      </c>
      <c r="B382" s="96" t="s">
        <v>338</v>
      </c>
    </row>
    <row r="383" spans="1:2" ht="18.75">
      <c r="A383" s="27">
        <v>764135135</v>
      </c>
      <c r="B383" s="28" t="s">
        <v>268</v>
      </c>
    </row>
    <row r="384" spans="1:2" ht="18.75">
      <c r="A384" s="27">
        <v>788293949</v>
      </c>
      <c r="B384" s="28" t="s">
        <v>268</v>
      </c>
    </row>
    <row r="385" spans="1:2" ht="18.75">
      <c r="A385" s="27">
        <v>787394959</v>
      </c>
      <c r="B385" s="28" t="s">
        <v>268</v>
      </c>
    </row>
    <row r="386" spans="1:2" ht="18.75">
      <c r="A386" s="27">
        <v>907688290</v>
      </c>
      <c r="B386" s="28" t="s">
        <v>339</v>
      </c>
    </row>
    <row r="387" spans="1:2" ht="18.75">
      <c r="A387" s="27">
        <v>939767589</v>
      </c>
      <c r="B387" s="28" t="s">
        <v>340</v>
      </c>
    </row>
    <row r="388" spans="1:2" ht="18.75">
      <c r="A388" s="27">
        <v>788812344</v>
      </c>
      <c r="B388" s="28" t="s">
        <v>341</v>
      </c>
    </row>
    <row r="389" spans="1:2" ht="21.75">
      <c r="A389" s="97">
        <v>939336670</v>
      </c>
      <c r="B389" s="67" t="s">
        <v>342</v>
      </c>
    </row>
    <row r="390" spans="1:2" ht="21.75">
      <c r="A390" s="98">
        <v>939078082</v>
      </c>
      <c r="B390" s="56" t="s">
        <v>150</v>
      </c>
    </row>
    <row r="391" spans="1:2" ht="21.75">
      <c r="A391" s="98">
        <v>932972424</v>
      </c>
      <c r="B391" s="56" t="s">
        <v>343</v>
      </c>
    </row>
    <row r="392" spans="1:2" ht="18.75">
      <c r="A392" s="65">
        <v>932804935</v>
      </c>
      <c r="B392" s="56" t="s">
        <v>344</v>
      </c>
    </row>
    <row r="393" spans="1:2" ht="21.75">
      <c r="A393" s="98">
        <v>939422136</v>
      </c>
      <c r="B393" s="56" t="s">
        <v>181</v>
      </c>
    </row>
    <row r="394" spans="1:2" ht="21.75">
      <c r="A394" s="98">
        <v>898084418</v>
      </c>
      <c r="B394" s="56" t="s">
        <v>345</v>
      </c>
    </row>
    <row r="395" spans="1:2" ht="18.75">
      <c r="A395" s="65">
        <v>939517521</v>
      </c>
      <c r="B395" s="56" t="s">
        <v>346</v>
      </c>
    </row>
    <row r="396" spans="1:2" ht="21.75">
      <c r="A396" s="98">
        <v>794377343</v>
      </c>
      <c r="B396" s="56" t="s">
        <v>347</v>
      </c>
    </row>
    <row r="397" spans="1:2" ht="18.75">
      <c r="A397" s="65">
        <v>907888664</v>
      </c>
      <c r="B397" s="56" t="s">
        <v>348</v>
      </c>
    </row>
    <row r="398" spans="1:2" ht="21.75">
      <c r="A398" s="98">
        <v>939923686</v>
      </c>
      <c r="B398" s="56" t="s">
        <v>349</v>
      </c>
    </row>
    <row r="399" spans="1:2" ht="21.75">
      <c r="A399" s="98">
        <v>903687189</v>
      </c>
      <c r="B399" s="56" t="s">
        <v>350</v>
      </c>
    </row>
    <row r="400" spans="1:2" ht="18.75">
      <c r="A400" s="65">
        <v>908055725</v>
      </c>
      <c r="B400" s="56" t="s">
        <v>223</v>
      </c>
    </row>
    <row r="401" spans="1:2" ht="21.75">
      <c r="A401" s="98">
        <v>902933446</v>
      </c>
      <c r="B401" s="56" t="s">
        <v>351</v>
      </c>
    </row>
    <row r="402" spans="1:2" ht="21.75">
      <c r="A402" s="98">
        <v>939677279</v>
      </c>
      <c r="B402" s="56" t="s">
        <v>352</v>
      </c>
    </row>
    <row r="403" spans="1:2" ht="21.75">
      <c r="A403" s="98">
        <v>939364064</v>
      </c>
      <c r="B403" s="56" t="s">
        <v>353</v>
      </c>
    </row>
    <row r="404" spans="1:2" ht="21.75">
      <c r="A404" s="98">
        <v>901020266</v>
      </c>
      <c r="B404" s="56" t="s">
        <v>354</v>
      </c>
    </row>
    <row r="405" spans="1:2" ht="18.75">
      <c r="A405" s="65">
        <v>939250771</v>
      </c>
      <c r="B405" s="56" t="s">
        <v>355</v>
      </c>
    </row>
    <row r="406" spans="1:2" ht="21.75">
      <c r="A406" s="98">
        <v>939590959</v>
      </c>
      <c r="B406" s="56" t="s">
        <v>356</v>
      </c>
    </row>
    <row r="407" spans="1:2" ht="18.75">
      <c r="A407" s="65">
        <v>938242839</v>
      </c>
      <c r="B407" s="56" t="s">
        <v>357</v>
      </c>
    </row>
    <row r="408" spans="1:2" ht="18.75">
      <c r="A408" s="65">
        <v>939197722</v>
      </c>
      <c r="B408" s="56" t="s">
        <v>358</v>
      </c>
    </row>
    <row r="409" spans="1:2" ht="21.75">
      <c r="A409" s="98">
        <v>939409049</v>
      </c>
      <c r="B409" s="56" t="s">
        <v>359</v>
      </c>
    </row>
    <row r="410" spans="1:2" ht="21.75">
      <c r="A410" s="98">
        <v>901096676</v>
      </c>
      <c r="B410" s="56" t="s">
        <v>360</v>
      </c>
    </row>
    <row r="411" spans="1:2" ht="21.75">
      <c r="A411" s="98">
        <v>902071313</v>
      </c>
      <c r="B411" s="56" t="s">
        <v>361</v>
      </c>
    </row>
    <row r="412" spans="1:2" ht="21.75">
      <c r="A412" s="98">
        <v>767575599</v>
      </c>
      <c r="B412" s="56" t="s">
        <v>362</v>
      </c>
    </row>
    <row r="413" spans="1:2" ht="21.75">
      <c r="A413" s="98">
        <v>907913791</v>
      </c>
      <c r="B413" s="56" t="s">
        <v>363</v>
      </c>
    </row>
    <row r="414" spans="1:2" ht="21.75">
      <c r="A414" s="98">
        <v>939005459</v>
      </c>
      <c r="B414" s="56" t="s">
        <v>364</v>
      </c>
    </row>
    <row r="415" spans="1:2" ht="21.75">
      <c r="A415" s="98">
        <v>769379669</v>
      </c>
      <c r="B415" s="56" t="s">
        <v>365</v>
      </c>
    </row>
    <row r="416" spans="1:2" ht="21.75">
      <c r="A416" s="98">
        <v>931782783</v>
      </c>
      <c r="B416" s="56" t="s">
        <v>6</v>
      </c>
    </row>
    <row r="417" spans="1:2" ht="21.75">
      <c r="A417" s="98">
        <v>901791328</v>
      </c>
      <c r="B417" s="56" t="s">
        <v>366</v>
      </c>
    </row>
    <row r="418" spans="1:2" ht="21.75">
      <c r="A418" s="98">
        <v>799651659</v>
      </c>
      <c r="B418" s="56" t="s">
        <v>367</v>
      </c>
    </row>
    <row r="419" spans="1:2" ht="21.75">
      <c r="A419" s="98">
        <v>936401887</v>
      </c>
      <c r="B419" s="56" t="s">
        <v>368</v>
      </c>
    </row>
    <row r="420" spans="1:2" ht="21.75">
      <c r="A420" s="98">
        <v>787911986</v>
      </c>
      <c r="B420" s="56" t="s">
        <v>369</v>
      </c>
    </row>
    <row r="421" spans="1:2" ht="21.75">
      <c r="A421" s="98">
        <v>907404881</v>
      </c>
      <c r="B421" s="56" t="s">
        <v>370</v>
      </c>
    </row>
    <row r="422" spans="1:2" ht="21.75">
      <c r="A422" s="98">
        <v>909995423</v>
      </c>
      <c r="B422" s="56" t="s">
        <v>328</v>
      </c>
    </row>
    <row r="423" spans="1:2" ht="21.75">
      <c r="A423" s="98">
        <v>931130783</v>
      </c>
      <c r="B423" s="56" t="s">
        <v>328</v>
      </c>
    </row>
    <row r="424" spans="1:2" ht="21.75">
      <c r="A424" s="98">
        <v>939172139</v>
      </c>
      <c r="B424" s="56" t="s">
        <v>371</v>
      </c>
    </row>
    <row r="425" spans="1:2" ht="21.75">
      <c r="A425" s="98">
        <v>901041911</v>
      </c>
      <c r="B425" s="56" t="s">
        <v>372</v>
      </c>
    </row>
    <row r="426" spans="1:2" ht="21.75">
      <c r="A426" s="98">
        <v>934293092</v>
      </c>
      <c r="B426" s="56" t="s">
        <v>373</v>
      </c>
    </row>
    <row r="427" spans="1:2" ht="21.75">
      <c r="A427" s="98">
        <v>939191726</v>
      </c>
      <c r="B427" s="56" t="s">
        <v>374</v>
      </c>
    </row>
    <row r="428" spans="1:2" ht="21.75">
      <c r="A428" s="98">
        <v>939202935</v>
      </c>
      <c r="B428" s="56" t="s">
        <v>375</v>
      </c>
    </row>
    <row r="429" spans="1:2" ht="21.75">
      <c r="A429" s="98">
        <v>931894540</v>
      </c>
      <c r="B429" s="56" t="s">
        <v>376</v>
      </c>
    </row>
    <row r="430" spans="1:2" ht="18.75">
      <c r="A430" s="65">
        <v>766838368</v>
      </c>
      <c r="B430" s="56" t="s">
        <v>377</v>
      </c>
    </row>
    <row r="431" spans="1:2" ht="21.75">
      <c r="A431" s="98">
        <v>788791978</v>
      </c>
      <c r="B431" s="56" t="s">
        <v>378</v>
      </c>
    </row>
    <row r="432" spans="1:2" ht="21.75">
      <c r="A432" s="98">
        <v>931066039</v>
      </c>
      <c r="B432" s="56" t="s">
        <v>379</v>
      </c>
    </row>
    <row r="433" spans="1:2" ht="21.75">
      <c r="A433" s="98">
        <v>931110377</v>
      </c>
      <c r="B433" s="56" t="s">
        <v>380</v>
      </c>
    </row>
    <row r="434" spans="1:2" ht="21.75">
      <c r="A434" s="98">
        <v>939999545</v>
      </c>
      <c r="B434" s="56" t="s">
        <v>381</v>
      </c>
    </row>
    <row r="435" spans="1:2" ht="21.75">
      <c r="A435" s="98">
        <v>932321231</v>
      </c>
      <c r="B435" s="56" t="s">
        <v>383</v>
      </c>
    </row>
    <row r="436" spans="1:2" ht="21.75">
      <c r="A436" s="98">
        <v>903887662</v>
      </c>
      <c r="B436" s="56" t="s">
        <v>384</v>
      </c>
    </row>
    <row r="437" spans="1:2" ht="21.75">
      <c r="A437" s="98">
        <v>768806317</v>
      </c>
      <c r="B437" s="56" t="s">
        <v>384</v>
      </c>
    </row>
    <row r="438" spans="1:2" ht="21.75">
      <c r="A438" s="98">
        <v>907656592</v>
      </c>
      <c r="B438" s="56" t="s">
        <v>385</v>
      </c>
    </row>
    <row r="439" spans="1:2" ht="21.75">
      <c r="A439" s="98">
        <v>931776876</v>
      </c>
      <c r="B439" s="56" t="s">
        <v>386</v>
      </c>
    </row>
    <row r="440" spans="1:2" ht="21.75">
      <c r="A440" s="98">
        <v>907969197</v>
      </c>
      <c r="B440" s="56" t="s">
        <v>387</v>
      </c>
    </row>
    <row r="441" spans="1:2" ht="21.75">
      <c r="A441" s="98">
        <v>907885586</v>
      </c>
      <c r="B441" s="56" t="s">
        <v>388</v>
      </c>
    </row>
    <row r="442" spans="1:2" ht="21.75">
      <c r="A442" s="98">
        <v>937081999</v>
      </c>
      <c r="B442" s="56" t="s">
        <v>389</v>
      </c>
    </row>
    <row r="443" spans="1:2" ht="21.75">
      <c r="A443" s="98">
        <v>907608386</v>
      </c>
      <c r="B443" s="56" t="s">
        <v>390</v>
      </c>
    </row>
    <row r="444" spans="1:2" ht="21.75">
      <c r="A444" s="98">
        <v>939072365</v>
      </c>
      <c r="B444" s="56" t="s">
        <v>391</v>
      </c>
    </row>
    <row r="445" spans="1:2" ht="21.75">
      <c r="A445" s="98">
        <v>799595979</v>
      </c>
      <c r="B445" s="56" t="s">
        <v>392</v>
      </c>
    </row>
    <row r="446" spans="1:2" ht="21.75">
      <c r="A446" s="98">
        <v>797672509</v>
      </c>
      <c r="B446" s="56" t="s">
        <v>393</v>
      </c>
    </row>
    <row r="447" spans="1:2" ht="18.75">
      <c r="A447" s="65">
        <v>907921720</v>
      </c>
      <c r="B447" s="56" t="s">
        <v>394</v>
      </c>
    </row>
    <row r="448" spans="1:2" ht="21.75">
      <c r="A448" s="103" t="s">
        <v>395</v>
      </c>
      <c r="B448" s="42" t="s">
        <v>396</v>
      </c>
    </row>
    <row r="449" spans="1:2" ht="21.75">
      <c r="A449" s="97">
        <v>939523663</v>
      </c>
      <c r="B449" s="67" t="s">
        <v>397</v>
      </c>
    </row>
    <row r="450" spans="1:2" ht="21.75">
      <c r="A450" s="98">
        <v>907631964</v>
      </c>
      <c r="B450" s="56" t="s">
        <v>398</v>
      </c>
    </row>
    <row r="451" spans="1:2" ht="21.75">
      <c r="A451" s="98">
        <v>939083539</v>
      </c>
      <c r="B451" s="56" t="s">
        <v>399</v>
      </c>
    </row>
    <row r="452" spans="1:2" ht="21.75">
      <c r="A452" s="98">
        <v>931874342</v>
      </c>
      <c r="B452" s="56" t="s">
        <v>400</v>
      </c>
    </row>
    <row r="453" spans="1:2" ht="21.75">
      <c r="A453" s="98">
        <v>901223168</v>
      </c>
      <c r="B453" s="56" t="s">
        <v>69</v>
      </c>
    </row>
    <row r="454" spans="1:2" ht="18.75">
      <c r="A454" s="65">
        <v>901059186</v>
      </c>
      <c r="B454" s="56" t="s">
        <v>401</v>
      </c>
    </row>
    <row r="455" spans="1:2" ht="21.75">
      <c r="A455" s="98">
        <v>939093195</v>
      </c>
      <c r="B455" s="56" t="s">
        <v>402</v>
      </c>
    </row>
    <row r="456" spans="1:2" ht="21.75">
      <c r="A456" s="98">
        <v>939696238</v>
      </c>
      <c r="B456" s="56" t="s">
        <v>402</v>
      </c>
    </row>
    <row r="457" spans="1:2" ht="21.75">
      <c r="A457" s="98">
        <v>939197969</v>
      </c>
      <c r="B457" s="56" t="s">
        <v>403</v>
      </c>
    </row>
    <row r="458" spans="1:2" ht="21.75">
      <c r="A458" s="98">
        <v>931091819</v>
      </c>
      <c r="B458" s="56" t="s">
        <v>404</v>
      </c>
    </row>
    <row r="459" spans="1:2" ht="21.75">
      <c r="A459" s="98">
        <v>776825361</v>
      </c>
      <c r="B459" s="56" t="s">
        <v>405</v>
      </c>
    </row>
    <row r="460" spans="1:2" ht="21.75">
      <c r="A460" s="98">
        <v>909151313</v>
      </c>
      <c r="B460" s="56" t="s">
        <v>369</v>
      </c>
    </row>
    <row r="461" spans="1:2" ht="18.75">
      <c r="A461" s="104">
        <v>939752168</v>
      </c>
      <c r="B461" s="105" t="s">
        <v>69</v>
      </c>
    </row>
    <row r="462" spans="1:2" ht="21.75">
      <c r="A462" s="98">
        <v>938467338</v>
      </c>
      <c r="B462" s="56" t="s">
        <v>406</v>
      </c>
    </row>
    <row r="463" spans="1:2" ht="21.75">
      <c r="A463" s="98">
        <v>908959626</v>
      </c>
      <c r="B463" s="56" t="s">
        <v>407</v>
      </c>
    </row>
    <row r="464" spans="1:2" ht="21.75">
      <c r="A464" s="98">
        <v>932818583</v>
      </c>
      <c r="B464" s="56" t="s">
        <v>408</v>
      </c>
    </row>
    <row r="465" spans="1:2" ht="21.75">
      <c r="A465" s="98">
        <v>939370660</v>
      </c>
      <c r="B465" s="56" t="s">
        <v>409</v>
      </c>
    </row>
    <row r="466" spans="1:2" ht="21.75">
      <c r="A466" s="98">
        <v>931889867</v>
      </c>
      <c r="B466" s="56" t="s">
        <v>410</v>
      </c>
    </row>
    <row r="467" spans="1:2" ht="21.75">
      <c r="A467" s="98">
        <v>939250555</v>
      </c>
      <c r="B467" s="56" t="s">
        <v>411</v>
      </c>
    </row>
    <row r="468" spans="1:2" ht="21.75">
      <c r="A468" s="98">
        <v>939986166</v>
      </c>
      <c r="B468" s="56" t="s">
        <v>412</v>
      </c>
    </row>
    <row r="469" spans="1:2" ht="18.75">
      <c r="A469" s="65">
        <v>901333649</v>
      </c>
      <c r="B469" s="56" t="s">
        <v>413</v>
      </c>
    </row>
    <row r="470" spans="1:2" ht="21.75">
      <c r="A470" s="98">
        <v>931076839</v>
      </c>
      <c r="B470" s="56" t="s">
        <v>414</v>
      </c>
    </row>
    <row r="471" spans="1:2" ht="21.75">
      <c r="A471" s="98">
        <v>777876758</v>
      </c>
      <c r="B471" s="56" t="s">
        <v>415</v>
      </c>
    </row>
    <row r="472" spans="1:2" ht="21.75">
      <c r="A472" s="98">
        <v>907774799</v>
      </c>
      <c r="B472" s="56" t="s">
        <v>416</v>
      </c>
    </row>
    <row r="473" spans="1:2" ht="21.75">
      <c r="A473" s="98">
        <v>932898945</v>
      </c>
      <c r="B473" s="56" t="s">
        <v>417</v>
      </c>
    </row>
    <row r="474" spans="1:2" ht="21.75">
      <c r="A474" s="98">
        <v>772115354</v>
      </c>
      <c r="B474" s="56" t="s">
        <v>418</v>
      </c>
    </row>
    <row r="475" spans="1:2" ht="21.75">
      <c r="A475" s="98">
        <v>907161319</v>
      </c>
      <c r="B475" s="56" t="s">
        <v>419</v>
      </c>
    </row>
    <row r="476" spans="1:2" ht="21.75">
      <c r="A476" s="98">
        <v>939770447</v>
      </c>
      <c r="B476" s="56" t="s">
        <v>420</v>
      </c>
    </row>
    <row r="477" spans="1:2" ht="21.75">
      <c r="A477" s="98">
        <v>907992217</v>
      </c>
      <c r="B477" s="56" t="s">
        <v>421</v>
      </c>
    </row>
    <row r="478" spans="1:2" ht="21.75">
      <c r="A478" s="98">
        <v>907352217</v>
      </c>
      <c r="B478" s="56" t="s">
        <v>422</v>
      </c>
    </row>
    <row r="479" spans="1:2" ht="21.75">
      <c r="A479" s="98">
        <v>799682316</v>
      </c>
      <c r="B479" s="56" t="s">
        <v>423</v>
      </c>
    </row>
    <row r="480" spans="1:2" ht="21.75">
      <c r="A480" s="98">
        <v>795468417</v>
      </c>
      <c r="B480" s="56" t="s">
        <v>424</v>
      </c>
    </row>
    <row r="481" spans="1:2" ht="21.75">
      <c r="A481" s="98">
        <v>908201342</v>
      </c>
      <c r="B481" s="56" t="s">
        <v>425</v>
      </c>
    </row>
    <row r="482" spans="1:2" ht="21.75">
      <c r="A482" s="98">
        <v>901075969</v>
      </c>
      <c r="B482" s="56" t="s">
        <v>426</v>
      </c>
    </row>
    <row r="483" spans="1:2" ht="21.75">
      <c r="A483" s="98">
        <v>931010215</v>
      </c>
      <c r="B483" s="56" t="s">
        <v>315</v>
      </c>
    </row>
    <row r="484" spans="1:2" ht="21.75">
      <c r="A484" s="98">
        <v>778106265</v>
      </c>
      <c r="B484" s="56" t="s">
        <v>427</v>
      </c>
    </row>
    <row r="485" spans="1:2" ht="21.75">
      <c r="A485" s="98">
        <v>898127273</v>
      </c>
      <c r="B485" s="56" t="s">
        <v>427</v>
      </c>
    </row>
    <row r="486" spans="1:2" ht="21.75">
      <c r="A486" s="98">
        <v>765942205</v>
      </c>
      <c r="B486" s="56" t="s">
        <v>428</v>
      </c>
    </row>
    <row r="487" spans="1:2" ht="21.75">
      <c r="A487" s="98">
        <v>906648240</v>
      </c>
      <c r="B487" s="56" t="s">
        <v>429</v>
      </c>
    </row>
    <row r="488" spans="1:2" ht="21.75">
      <c r="A488" s="98">
        <v>932811939</v>
      </c>
      <c r="B488" s="56" t="s">
        <v>430</v>
      </c>
    </row>
    <row r="489" spans="1:2" ht="21.75">
      <c r="A489" s="98">
        <v>931003568</v>
      </c>
      <c r="B489" s="56" t="s">
        <v>431</v>
      </c>
    </row>
    <row r="490" spans="1:2" ht="21.75">
      <c r="A490" s="98">
        <v>938175919</v>
      </c>
      <c r="B490" s="56" t="s">
        <v>432</v>
      </c>
    </row>
    <row r="491" spans="1:2" ht="22.5">
      <c r="A491" s="106">
        <v>901071766</v>
      </c>
      <c r="B491" s="42" t="s">
        <v>433</v>
      </c>
    </row>
    <row r="492" spans="1:2" ht="22.5">
      <c r="A492" s="106">
        <v>906969115</v>
      </c>
      <c r="B492" s="42" t="s">
        <v>433</v>
      </c>
    </row>
    <row r="493" spans="1:2" ht="22.5">
      <c r="A493" s="106">
        <v>766887899</v>
      </c>
      <c r="B493" s="42" t="s">
        <v>434</v>
      </c>
    </row>
    <row r="494" spans="1:2" ht="22.5">
      <c r="A494" s="106">
        <v>907856315</v>
      </c>
      <c r="B494" s="42" t="s">
        <v>82</v>
      </c>
    </row>
    <row r="495" spans="1:2" ht="22.5">
      <c r="A495" s="106">
        <v>909191397</v>
      </c>
      <c r="B495" s="42" t="s">
        <v>435</v>
      </c>
    </row>
    <row r="496" spans="1:2" ht="22.5">
      <c r="A496" s="106">
        <v>914405059</v>
      </c>
      <c r="B496" s="42" t="s">
        <v>436</v>
      </c>
    </row>
    <row r="497" spans="1:2" ht="22.5">
      <c r="A497" s="106">
        <v>939103686</v>
      </c>
      <c r="B497" s="42" t="s">
        <v>437</v>
      </c>
    </row>
    <row r="498" spans="1:2" ht="21.75">
      <c r="A498" s="97">
        <v>909251316</v>
      </c>
      <c r="B498" s="67" t="s">
        <v>262</v>
      </c>
    </row>
    <row r="499" spans="1:2" ht="22.5">
      <c r="A499" s="106">
        <v>706610919</v>
      </c>
      <c r="B499" s="42" t="s">
        <v>438</v>
      </c>
    </row>
    <row r="500" spans="1:2" ht="22.5">
      <c r="A500" s="106">
        <v>788771114</v>
      </c>
      <c r="B500" s="42" t="s">
        <v>439</v>
      </c>
    </row>
    <row r="501" spans="1:2" ht="22.5">
      <c r="A501" s="106">
        <v>901093686</v>
      </c>
      <c r="B501" s="42" t="s">
        <v>352</v>
      </c>
    </row>
    <row r="502" spans="1:2" ht="22.5">
      <c r="A502" s="106">
        <v>788788828</v>
      </c>
      <c r="B502" s="42" t="s">
        <v>440</v>
      </c>
    </row>
    <row r="503" spans="1:2" ht="22.5">
      <c r="A503" s="106">
        <v>932803632</v>
      </c>
      <c r="B503" s="42" t="s">
        <v>441</v>
      </c>
    </row>
    <row r="504" spans="1:2" ht="22.5">
      <c r="A504" s="106">
        <v>939689659</v>
      </c>
      <c r="B504" s="42" t="s">
        <v>442</v>
      </c>
    </row>
    <row r="505" spans="1:2" ht="22.5">
      <c r="A505" s="106">
        <v>931001079</v>
      </c>
      <c r="B505" s="42" t="s">
        <v>443</v>
      </c>
    </row>
    <row r="506" spans="1:2" ht="22.5">
      <c r="A506" s="106">
        <v>939911479</v>
      </c>
      <c r="B506" s="42" t="s">
        <v>445</v>
      </c>
    </row>
    <row r="507" spans="1:2" ht="22.5">
      <c r="A507" s="106">
        <v>939060859</v>
      </c>
      <c r="B507" s="42" t="s">
        <v>446</v>
      </c>
    </row>
    <row r="508" spans="1:2" ht="21.75">
      <c r="A508" s="97">
        <v>939801890</v>
      </c>
      <c r="B508" s="67" t="s">
        <v>447</v>
      </c>
    </row>
    <row r="509" spans="1:2" ht="22.5">
      <c r="A509" s="111">
        <v>706604666</v>
      </c>
      <c r="B509" s="42" t="s">
        <v>448</v>
      </c>
    </row>
    <row r="510" spans="1:2" ht="18.75">
      <c r="A510" s="86">
        <v>787885151</v>
      </c>
      <c r="B510" s="67" t="s">
        <v>450</v>
      </c>
    </row>
    <row r="511" spans="1:2" ht="21.75">
      <c r="A511" s="98">
        <v>762879579</v>
      </c>
      <c r="B511" s="56" t="s">
        <v>451</v>
      </c>
    </row>
    <row r="512" spans="1:2" ht="21.75">
      <c r="A512" s="98">
        <v>794969499</v>
      </c>
      <c r="B512" s="56" t="s">
        <v>452</v>
      </c>
    </row>
    <row r="513" spans="1:2" ht="18.75">
      <c r="A513" s="65">
        <v>706327279</v>
      </c>
      <c r="B513" s="56" t="s">
        <v>453</v>
      </c>
    </row>
    <row r="514" spans="1:2" ht="21.75">
      <c r="A514" s="98">
        <v>762838158</v>
      </c>
      <c r="B514" s="56" t="s">
        <v>454</v>
      </c>
    </row>
    <row r="515" spans="1:2" ht="21.75">
      <c r="A515" s="98">
        <v>931793117</v>
      </c>
      <c r="B515" s="56" t="s">
        <v>455</v>
      </c>
    </row>
    <row r="516" spans="1:2" ht="22.5">
      <c r="A516" s="112">
        <v>939823336</v>
      </c>
      <c r="B516" s="42" t="s">
        <v>456</v>
      </c>
    </row>
    <row r="517" spans="1:2" ht="21.75">
      <c r="A517" s="97">
        <v>939842959</v>
      </c>
      <c r="B517" s="67" t="s">
        <v>458</v>
      </c>
    </row>
    <row r="518" spans="1:2" ht="18.75">
      <c r="A518" s="65">
        <v>931002924</v>
      </c>
      <c r="B518" s="56" t="s">
        <v>458</v>
      </c>
    </row>
    <row r="519" spans="1:2" ht="21.75">
      <c r="A519" s="98">
        <v>904279949</v>
      </c>
      <c r="B519" s="56" t="s">
        <v>459</v>
      </c>
    </row>
    <row r="520" spans="1:2" ht="21.75">
      <c r="A520" s="98">
        <v>787976362</v>
      </c>
      <c r="B520" s="56" t="s">
        <v>460</v>
      </c>
    </row>
    <row r="521" spans="1:2" ht="22.5">
      <c r="A521" s="106">
        <v>907667479</v>
      </c>
      <c r="B521" s="42" t="s">
        <v>81</v>
      </c>
    </row>
    <row r="522" spans="1:2" ht="22.5">
      <c r="A522" s="106">
        <v>931108299</v>
      </c>
      <c r="B522" s="42" t="s">
        <v>455</v>
      </c>
    </row>
    <row r="523" spans="1:2" ht="15">
      <c r="A523" s="113">
        <v>931791299</v>
      </c>
      <c r="B523" s="28" t="s">
        <v>461</v>
      </c>
    </row>
    <row r="524" spans="1:2" ht="22.5">
      <c r="A524" s="114">
        <v>907759788</v>
      </c>
      <c r="B524" s="96" t="s">
        <v>463</v>
      </c>
    </row>
    <row r="525" spans="1:2" ht="22.5">
      <c r="A525" s="114">
        <v>939608282</v>
      </c>
      <c r="B525" s="28" t="s">
        <v>464</v>
      </c>
    </row>
    <row r="526" spans="1:2" ht="22.5">
      <c r="A526" s="114">
        <v>939618282</v>
      </c>
      <c r="B526" s="28" t="s">
        <v>464</v>
      </c>
    </row>
    <row r="527" spans="1:2" ht="18.75">
      <c r="A527" s="115">
        <v>767993899</v>
      </c>
      <c r="B527" s="28" t="s">
        <v>465</v>
      </c>
    </row>
    <row r="528" spans="1:2" ht="12.75">
      <c r="A528" s="10">
        <v>796315141</v>
      </c>
      <c r="B528" s="10" t="s">
        <v>467</v>
      </c>
    </row>
    <row r="529" spans="1:2" ht="16.5">
      <c r="A529" s="8">
        <v>907332844</v>
      </c>
      <c r="B529" s="10" t="s">
        <v>396</v>
      </c>
    </row>
    <row r="530" spans="1:2" ht="15">
      <c r="A530" s="113">
        <v>939790925</v>
      </c>
      <c r="B530" s="10" t="s">
        <v>468</v>
      </c>
    </row>
    <row r="531" spans="1:2" ht="15">
      <c r="A531" s="113">
        <v>787979164</v>
      </c>
      <c r="B531" s="10" t="s">
        <v>469</v>
      </c>
    </row>
    <row r="532" spans="1:2" ht="15">
      <c r="A532" s="113">
        <v>907696918</v>
      </c>
      <c r="B532" s="10" t="s">
        <v>470</v>
      </c>
    </row>
    <row r="533" spans="1:2" ht="16.5">
      <c r="A533" s="8">
        <v>901212176</v>
      </c>
      <c r="B533" s="10" t="s">
        <v>471</v>
      </c>
    </row>
    <row r="534" spans="1:2" ht="15">
      <c r="A534" s="113">
        <v>902426346</v>
      </c>
      <c r="B534" s="10" t="s">
        <v>297</v>
      </c>
    </row>
    <row r="535" spans="1:2" ht="15">
      <c r="A535" s="113">
        <v>901508510</v>
      </c>
      <c r="B535" s="10" t="s">
        <v>297</v>
      </c>
    </row>
    <row r="536" spans="1:2" ht="15">
      <c r="A536" s="113">
        <v>767999196</v>
      </c>
      <c r="B536" s="10" t="s">
        <v>297</v>
      </c>
    </row>
    <row r="537" spans="1:2" ht="15">
      <c r="A537" s="113">
        <v>939396664</v>
      </c>
      <c r="B537" s="10" t="s">
        <v>472</v>
      </c>
    </row>
    <row r="538" spans="1:2" ht="15">
      <c r="A538" s="113">
        <v>939319288</v>
      </c>
      <c r="B538" s="10" t="s">
        <v>473</v>
      </c>
    </row>
    <row r="539" spans="1:2" ht="15">
      <c r="A539" s="113">
        <v>907917191</v>
      </c>
      <c r="B539" s="10" t="s">
        <v>474</v>
      </c>
    </row>
    <row r="540" spans="1:2" ht="15">
      <c r="A540" s="113">
        <v>939829599</v>
      </c>
      <c r="B540" s="10" t="s">
        <v>475</v>
      </c>
    </row>
    <row r="541" spans="1:2" ht="15">
      <c r="A541" s="113">
        <v>901050533</v>
      </c>
      <c r="B541" s="10" t="s">
        <v>476</v>
      </c>
    </row>
    <row r="542" spans="1:2" ht="15">
      <c r="A542" s="113">
        <v>901099976</v>
      </c>
      <c r="B542" s="10" t="s">
        <v>476</v>
      </c>
    </row>
    <row r="543" spans="1:2" ht="15">
      <c r="A543" s="113">
        <v>901001639</v>
      </c>
      <c r="B543" s="10" t="s">
        <v>477</v>
      </c>
    </row>
    <row r="544" spans="1:2" ht="15">
      <c r="A544" s="113">
        <v>939112983</v>
      </c>
      <c r="B544" s="10" t="s">
        <v>478</v>
      </c>
    </row>
    <row r="545" spans="1:2" ht="15">
      <c r="A545" s="113">
        <v>932959353</v>
      </c>
      <c r="B545" s="10" t="s">
        <v>479</v>
      </c>
    </row>
    <row r="546" spans="1:2" ht="15">
      <c r="A546" s="113">
        <v>932942394</v>
      </c>
      <c r="B546" s="10" t="s">
        <v>480</v>
      </c>
    </row>
    <row r="547" spans="1:2" ht="12.75">
      <c r="A547" s="10">
        <v>762952593</v>
      </c>
      <c r="B547" s="10" t="s">
        <v>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06"/>
  <sheetViews>
    <sheetView workbookViewId="0">
      <selection sqref="A1:F1"/>
    </sheetView>
  </sheetViews>
  <sheetFormatPr defaultColWidth="12.5703125" defaultRowHeight="15.75" customHeight="1"/>
  <cols>
    <col min="1" max="1" width="15.7109375" customWidth="1"/>
    <col min="2" max="2" width="18.7109375" customWidth="1"/>
    <col min="3" max="3" width="15" customWidth="1"/>
    <col min="6" max="6" width="28.140625" customWidth="1"/>
  </cols>
  <sheetData>
    <row r="1" spans="1:8" ht="42.75" customHeight="1">
      <c r="A1" s="139" t="str">
        <f ca="1">"Đơn Hoàn Tiền Trong Tháng " &amp;MONTH(TODAY())</f>
        <v>Đơn Hoàn Tiền Trong Tháng 10</v>
      </c>
      <c r="B1" s="140"/>
      <c r="C1" s="140"/>
      <c r="D1" s="140"/>
      <c r="E1" s="140"/>
      <c r="F1" s="141"/>
      <c r="G1" s="9">
        <f t="shared" ref="G1:H1" si="0">SUMIF($E$3:$E948,G2,$C$3:$C948)</f>
        <v>22250000</v>
      </c>
      <c r="H1" s="10">
        <f t="shared" si="0"/>
        <v>12390000</v>
      </c>
    </row>
    <row r="2" spans="1:8" ht="12.75">
      <c r="A2" s="11" t="s">
        <v>35</v>
      </c>
      <c r="B2" s="11" t="s">
        <v>41</v>
      </c>
      <c r="C2" s="11" t="s">
        <v>45</v>
      </c>
      <c r="D2" s="11" t="s">
        <v>47</v>
      </c>
      <c r="E2" s="11" t="s">
        <v>49</v>
      </c>
      <c r="F2" s="11" t="s">
        <v>51</v>
      </c>
      <c r="G2" s="11" t="s">
        <v>54</v>
      </c>
      <c r="H2" s="11" t="s">
        <v>56</v>
      </c>
    </row>
    <row r="3" spans="1:8" ht="16.5" hidden="1">
      <c r="A3" s="8">
        <v>931776876</v>
      </c>
      <c r="B3" s="16" t="str">
        <f>IF(A3&lt;&gt;"", VLOOKUP(A3,'Danh Sách Tổng KH'!$A$1:$B$547,2,0),"")</f>
        <v>Trần Xuân Đông Pha</v>
      </c>
      <c r="C3" s="19">
        <v>90000</v>
      </c>
      <c r="D3" s="21">
        <v>45520</v>
      </c>
      <c r="E3" s="22" t="s">
        <v>56</v>
      </c>
      <c r="F3" s="16" t="s">
        <v>83</v>
      </c>
    </row>
    <row r="4" spans="1:8" ht="16.5" hidden="1">
      <c r="A4" s="8">
        <v>931070719</v>
      </c>
      <c r="B4" s="16" t="str">
        <f>IF(A4&lt;&gt;"", VLOOKUP(A4,'Danh Sách Tổng KH'!$A$1:$B$547,2,0),"")</f>
        <v>HKD Cơ Sở Nhôm Cao Cấp Tiến Phát</v>
      </c>
      <c r="C4" s="19">
        <v>100000</v>
      </c>
      <c r="D4" s="21">
        <v>45520</v>
      </c>
      <c r="E4" s="22" t="s">
        <v>94</v>
      </c>
      <c r="F4" s="16" t="s">
        <v>96</v>
      </c>
    </row>
    <row r="5" spans="1:8" ht="16.5" hidden="1">
      <c r="A5" s="8">
        <v>931070729</v>
      </c>
      <c r="B5" s="16" t="str">
        <f>IF(A5&lt;&gt;"", VLOOKUP(A5,'Danh Sách Tổng KH'!$A$1:$B$547,2,0),"")</f>
        <v>HKD Cơ Sở Nhôm Cao Cấp Tiến Phát</v>
      </c>
      <c r="C5" s="19">
        <v>100000</v>
      </c>
      <c r="D5" s="21">
        <v>45520</v>
      </c>
      <c r="E5" s="22" t="s">
        <v>94</v>
      </c>
      <c r="F5" s="16" t="s">
        <v>96</v>
      </c>
    </row>
    <row r="6" spans="1:8" ht="16.5" hidden="1">
      <c r="A6" s="8">
        <v>778664664</v>
      </c>
      <c r="B6" s="16" t="str">
        <f>IF(A6&lt;&gt;"", VLOOKUP(A6,'Danh Sách Tổng KH'!$A$1:$B$547,2,0),"")</f>
        <v>Đào Nguyễn Dũng</v>
      </c>
      <c r="C6" s="19">
        <v>250000</v>
      </c>
      <c r="D6" s="21">
        <v>45520</v>
      </c>
      <c r="E6" s="22" t="s">
        <v>94</v>
      </c>
      <c r="F6" s="16" t="s">
        <v>96</v>
      </c>
    </row>
    <row r="7" spans="1:8" ht="16.5" hidden="1">
      <c r="A7" s="8">
        <v>799688778</v>
      </c>
      <c r="B7" s="16" t="str">
        <f>IF(A7&lt;&gt;"", VLOOKUP(A7,'Danh Sách Tổng KH'!$A$1:$B$547,2,0),"")</f>
        <v>Nguyễn Đại Sơn</v>
      </c>
      <c r="C7" s="19">
        <v>100000</v>
      </c>
      <c r="D7" s="21">
        <v>45520</v>
      </c>
      <c r="E7" s="22" t="s">
        <v>94</v>
      </c>
      <c r="F7" s="16" t="s">
        <v>96</v>
      </c>
    </row>
    <row r="8" spans="1:8" ht="16.5" hidden="1">
      <c r="A8" s="8">
        <v>899167869</v>
      </c>
      <c r="B8" s="16" t="str">
        <f>IF(A8&lt;&gt;"", VLOOKUP(A8,'Danh Sách Tổng KH'!$A$1:$B$547,2,0),"")</f>
        <v>Đặng Thị Minh Giang</v>
      </c>
      <c r="C8" s="19">
        <v>150000</v>
      </c>
      <c r="D8" s="21">
        <v>45520</v>
      </c>
      <c r="E8" s="22" t="s">
        <v>94</v>
      </c>
      <c r="F8" s="16" t="s">
        <v>96</v>
      </c>
    </row>
    <row r="9" spans="1:8" ht="16.5" hidden="1">
      <c r="A9" s="8">
        <v>931091686</v>
      </c>
      <c r="B9" s="16" t="str">
        <f>IF(A9&lt;&gt;"", VLOOKUP(A9,'Danh Sách Tổng KH'!$A$1:$B$547,2,0),"")</f>
        <v>Bùi Thành Đạt</v>
      </c>
      <c r="C9" s="19">
        <v>150000</v>
      </c>
      <c r="D9" s="21">
        <v>45520</v>
      </c>
      <c r="E9" s="22" t="s">
        <v>94</v>
      </c>
      <c r="F9" s="16" t="s">
        <v>96</v>
      </c>
    </row>
    <row r="10" spans="1:8" ht="16.5" hidden="1">
      <c r="A10" s="8">
        <v>907613686</v>
      </c>
      <c r="B10" s="16" t="str">
        <f>IF(A10&lt;&gt;"", VLOOKUP(A10,'Danh Sách Tổng KH'!$A$1:$B$547,2,0),"")</f>
        <v>Bùi Thành Đạt</v>
      </c>
      <c r="C10" s="19">
        <v>150000</v>
      </c>
      <c r="D10" s="21">
        <v>45520</v>
      </c>
      <c r="E10" s="22" t="s">
        <v>94</v>
      </c>
      <c r="F10" s="16" t="s">
        <v>96</v>
      </c>
    </row>
    <row r="11" spans="1:8" ht="16.5" hidden="1">
      <c r="A11" s="8">
        <v>939294334</v>
      </c>
      <c r="B11" s="16" t="str">
        <f>IF(A11&lt;&gt;"", VLOOKUP(A11,'Danh Sách Tổng KH'!$A$1:$B$547,2,0),"")</f>
        <v>Đỗ Thị Bích Huệ</v>
      </c>
      <c r="C11" s="19">
        <v>150000</v>
      </c>
      <c r="D11" s="21">
        <v>45520</v>
      </c>
      <c r="E11" s="22" t="s">
        <v>94</v>
      </c>
      <c r="F11" s="16" t="s">
        <v>96</v>
      </c>
    </row>
    <row r="12" spans="1:8" ht="16.5" hidden="1">
      <c r="A12" s="8">
        <v>901008988</v>
      </c>
      <c r="B12" s="16" t="str">
        <f>IF(A12&lt;&gt;"", VLOOKUP(A12,'Danh Sách Tổng KH'!$A$1:$B$547,2,0),"")</f>
        <v>Trần Thị Thanh Nghĩa</v>
      </c>
      <c r="C12" s="19">
        <v>100000</v>
      </c>
      <c r="D12" s="21">
        <v>45520</v>
      </c>
      <c r="E12" s="22" t="s">
        <v>94</v>
      </c>
      <c r="F12" s="16" t="s">
        <v>96</v>
      </c>
    </row>
    <row r="13" spans="1:8" ht="16.5" hidden="1">
      <c r="A13" s="8">
        <v>939791979</v>
      </c>
      <c r="B13" s="16" t="str">
        <f>IF(A13&lt;&gt;"", VLOOKUP(A13,'Danh Sách Tổng KH'!$A$1:$B$547,2,0),"")</f>
        <v>Nguyễn Hồng Xuân</v>
      </c>
      <c r="C13" s="19">
        <v>50000</v>
      </c>
      <c r="D13" s="21">
        <v>45520</v>
      </c>
      <c r="E13" s="22" t="s">
        <v>94</v>
      </c>
      <c r="F13" s="16" t="s">
        <v>96</v>
      </c>
    </row>
    <row r="14" spans="1:8" ht="16.5" hidden="1">
      <c r="A14" s="8">
        <v>939696834</v>
      </c>
      <c r="B14" s="16" t="str">
        <f>IF(A14&lt;&gt;"", VLOOKUP(A14,'Danh Sách Tổng KH'!$A$1:$B$547,2,0),"")</f>
        <v>Nguyễn Thị Mộng Ngọc</v>
      </c>
      <c r="C14" s="19">
        <v>350000</v>
      </c>
      <c r="D14" s="21">
        <v>45520</v>
      </c>
      <c r="E14" s="22" t="s">
        <v>94</v>
      </c>
      <c r="F14" s="16" t="s">
        <v>96</v>
      </c>
    </row>
    <row r="15" spans="1:8" ht="16.5" hidden="1">
      <c r="A15" s="8">
        <v>909987676</v>
      </c>
      <c r="B15" s="16" t="str">
        <f>IF(A15&lt;&gt;"", VLOOKUP(A15,'Danh Sách Tổng KH'!$A$1:$B$547,2,0),"")</f>
        <v>Phan Minh Cường</v>
      </c>
      <c r="C15" s="19">
        <v>500000</v>
      </c>
      <c r="D15" s="21">
        <v>45520</v>
      </c>
      <c r="E15" s="22" t="s">
        <v>94</v>
      </c>
      <c r="F15" s="16" t="s">
        <v>96</v>
      </c>
    </row>
    <row r="16" spans="1:8" ht="16.5" hidden="1">
      <c r="A16" s="8">
        <v>939969091</v>
      </c>
      <c r="B16" s="16" t="str">
        <f>IF(A16&lt;&gt;"", VLOOKUP(A16,'Danh Sách Tổng KH'!$A$1:$B$547,2,0),"")</f>
        <v>Nguyễn Thị Bích Thủy</v>
      </c>
      <c r="C16" s="19">
        <v>200000</v>
      </c>
      <c r="D16" s="21">
        <v>45520</v>
      </c>
      <c r="E16" s="22" t="s">
        <v>94</v>
      </c>
      <c r="F16" s="16" t="s">
        <v>96</v>
      </c>
    </row>
    <row r="17" spans="1:6" ht="16.5" hidden="1">
      <c r="A17" s="8">
        <v>908929618</v>
      </c>
      <c r="B17" s="16" t="str">
        <f>IF(A17&lt;&gt;"", VLOOKUP(A17,'Danh Sách Tổng KH'!$A$1:$B$547,2,0),"")</f>
        <v>Huỳnh Trần Minh Tiến</v>
      </c>
      <c r="C17" s="19">
        <v>150000</v>
      </c>
      <c r="D17" s="21">
        <v>45520</v>
      </c>
      <c r="E17" s="22" t="s">
        <v>94</v>
      </c>
      <c r="F17" s="16" t="s">
        <v>96</v>
      </c>
    </row>
    <row r="18" spans="1:6" ht="16.5" hidden="1">
      <c r="A18" s="8">
        <v>903022161</v>
      </c>
      <c r="B18" s="16" t="str">
        <f>IF(A18&lt;&gt;"", VLOOKUP(A18,'Danh Sách Tổng KH'!$A$1:$B$547,2,0),"")</f>
        <v>Lê Văn Lý</v>
      </c>
      <c r="C18" s="19">
        <v>300000</v>
      </c>
      <c r="D18" s="21">
        <v>45520</v>
      </c>
      <c r="E18" s="22" t="s">
        <v>94</v>
      </c>
      <c r="F18" s="16" t="s">
        <v>96</v>
      </c>
    </row>
    <row r="19" spans="1:6" ht="16.5" hidden="1">
      <c r="A19" s="8">
        <v>932160187</v>
      </c>
      <c r="B19" s="16" t="str">
        <f>IF(A19&lt;&gt;"", VLOOKUP(A19,'Danh Sách Tổng KH'!$A$1:$B$547,2,0),"")</f>
        <v>Nguyễn Hiếu Hiển</v>
      </c>
      <c r="C19" s="19">
        <v>100000</v>
      </c>
      <c r="D19" s="21">
        <v>45520</v>
      </c>
      <c r="E19" s="22" t="s">
        <v>94</v>
      </c>
      <c r="F19" s="16" t="s">
        <v>96</v>
      </c>
    </row>
    <row r="20" spans="1:6" ht="16.5" hidden="1">
      <c r="A20" s="8">
        <v>901062067</v>
      </c>
      <c r="B20" s="16" t="str">
        <f>IF(A20&lt;&gt;"", VLOOKUP(A20,'Danh Sách Tổng KH'!$A$1:$B$547,2,0),"")</f>
        <v>Hồ Minh Nhựt</v>
      </c>
      <c r="C20" s="19">
        <v>200000</v>
      </c>
      <c r="D20" s="21">
        <v>45520</v>
      </c>
      <c r="E20" s="22" t="s">
        <v>94</v>
      </c>
      <c r="F20" s="16" t="s">
        <v>96</v>
      </c>
    </row>
    <row r="21" spans="1:6" ht="16.5" hidden="1">
      <c r="A21" s="8">
        <v>901284489</v>
      </c>
      <c r="B21" s="16" t="str">
        <f>IF(A21&lt;&gt;"", VLOOKUP(A21,'Danh Sách Tổng KH'!$A$1:$B$547,2,0),"")</f>
        <v>Lê Ngọc Yến</v>
      </c>
      <c r="C21" s="19">
        <v>200000</v>
      </c>
      <c r="D21" s="21">
        <v>45520</v>
      </c>
      <c r="E21" s="22" t="s">
        <v>94</v>
      </c>
      <c r="F21" s="16" t="s">
        <v>96</v>
      </c>
    </row>
    <row r="22" spans="1:6" ht="16.5" hidden="1">
      <c r="A22" s="8">
        <v>706706038</v>
      </c>
      <c r="B22" s="16" t="str">
        <f>IF(A22&lt;&gt;"", VLOOKUP(A22,'Danh Sách Tổng KH'!$A$1:$B$547,2,0),"")</f>
        <v>Lê Si MuômL</v>
      </c>
      <c r="C22" s="19">
        <v>100000</v>
      </c>
      <c r="D22" s="21">
        <v>45520</v>
      </c>
      <c r="E22" s="22" t="s">
        <v>94</v>
      </c>
      <c r="F22" s="16" t="s">
        <v>96</v>
      </c>
    </row>
    <row r="23" spans="1:6" ht="16.5" hidden="1">
      <c r="A23" s="8">
        <v>932999771</v>
      </c>
      <c r="B23" s="16" t="str">
        <f>IF(A23&lt;&gt;"", VLOOKUP(A23,'Danh Sách Tổng KH'!$A$1:$B$547,2,0),"")</f>
        <v>Nguyễn Phước Thành</v>
      </c>
      <c r="C23" s="19">
        <v>150000</v>
      </c>
      <c r="D23" s="21">
        <v>45520</v>
      </c>
      <c r="E23" s="22" t="s">
        <v>94</v>
      </c>
      <c r="F23" s="16" t="s">
        <v>96</v>
      </c>
    </row>
    <row r="24" spans="1:6" ht="16.5" hidden="1">
      <c r="A24" s="8">
        <v>939349229</v>
      </c>
      <c r="B24" s="16" t="str">
        <f>IF(A24&lt;&gt;"", VLOOKUP(A24,'Danh Sách Tổng KH'!$A$1:$B$547,2,0),"")</f>
        <v>Võ Thanh Hiền</v>
      </c>
      <c r="C24" s="19">
        <v>150000</v>
      </c>
      <c r="D24" s="21">
        <v>45520</v>
      </c>
      <c r="E24" s="22" t="s">
        <v>94</v>
      </c>
      <c r="F24" s="16" t="s">
        <v>96</v>
      </c>
    </row>
    <row r="25" spans="1:6" ht="16.5" hidden="1">
      <c r="A25" s="8">
        <v>706610336</v>
      </c>
      <c r="B25" s="16" t="str">
        <f>IF(A25&lt;&gt;"", VLOOKUP(A25,'Danh Sách Tổng KH'!$A$1:$B$547,2,0),"")</f>
        <v>Lê Thị Thu Trang</v>
      </c>
      <c r="C25" s="19">
        <v>100000</v>
      </c>
      <c r="D25" s="21">
        <v>45520</v>
      </c>
      <c r="E25" s="22" t="s">
        <v>94</v>
      </c>
      <c r="F25" s="16" t="s">
        <v>96</v>
      </c>
    </row>
    <row r="26" spans="1:6" ht="16.5" hidden="1">
      <c r="A26" s="8">
        <v>939945943</v>
      </c>
      <c r="B26" s="16" t="str">
        <f>IF(A26&lt;&gt;"", VLOOKUP(A26,'Danh Sách Tổng KH'!$A$1:$B$547,2,0),"")</f>
        <v>Trần Văn Tư Lai</v>
      </c>
      <c r="C26" s="19">
        <v>150000</v>
      </c>
      <c r="D26" s="21">
        <v>45520</v>
      </c>
      <c r="E26" s="22" t="s">
        <v>94</v>
      </c>
      <c r="F26" s="16" t="s">
        <v>96</v>
      </c>
    </row>
    <row r="27" spans="1:6" ht="16.5" hidden="1">
      <c r="A27" s="8">
        <v>939070964</v>
      </c>
      <c r="B27" s="16" t="str">
        <f>IF(A27&lt;&gt;"", VLOOKUP(A27,'Danh Sách Tổng KH'!$A$1:$B$547,2,0),"")</f>
        <v>NGUYỄN VĂN THIỆN</v>
      </c>
      <c r="C27" s="19">
        <v>150000</v>
      </c>
      <c r="D27" s="21">
        <v>45520</v>
      </c>
      <c r="E27" s="22" t="s">
        <v>94</v>
      </c>
      <c r="F27" s="16" t="s">
        <v>96</v>
      </c>
    </row>
    <row r="28" spans="1:6" ht="16.5" hidden="1">
      <c r="A28" s="8">
        <v>939537375</v>
      </c>
      <c r="B28" s="16" t="str">
        <f>IF(A28&lt;&gt;"", VLOOKUP(A28,'Danh Sách Tổng KH'!$A$1:$B$547,2,0),"")</f>
        <v>Tiêu Anh Thư</v>
      </c>
      <c r="C28" s="19">
        <v>200000</v>
      </c>
      <c r="D28" s="21">
        <v>45520</v>
      </c>
      <c r="E28" s="22" t="s">
        <v>94</v>
      </c>
      <c r="F28" s="16" t="s">
        <v>96</v>
      </c>
    </row>
    <row r="29" spans="1:6" ht="16.5" hidden="1">
      <c r="A29" s="8">
        <v>939441688</v>
      </c>
      <c r="B29" s="16" t="str">
        <f>IF(A29&lt;&gt;"", VLOOKUP(A29,'Danh Sách Tổng KH'!$A$1:$B$547,2,0),"")</f>
        <v>Lê Tuấn Vương</v>
      </c>
      <c r="C29" s="19">
        <v>100000</v>
      </c>
      <c r="D29" s="21">
        <v>45520</v>
      </c>
      <c r="E29" s="22" t="s">
        <v>94</v>
      </c>
      <c r="F29" s="16" t="s">
        <v>96</v>
      </c>
    </row>
    <row r="30" spans="1:6" ht="16.5" hidden="1">
      <c r="A30" s="8">
        <v>767669049</v>
      </c>
      <c r="B30" s="16" t="str">
        <f>IF(A30&lt;&gt;"", VLOOKUP(A30,'Danh Sách Tổng KH'!$A$1:$B$547,2,0),"")</f>
        <v>Trịnh Văn Được</v>
      </c>
      <c r="C30" s="19">
        <v>100000</v>
      </c>
      <c r="D30" s="21">
        <v>45520</v>
      </c>
      <c r="E30" s="22" t="s">
        <v>94</v>
      </c>
      <c r="F30" s="16" t="s">
        <v>96</v>
      </c>
    </row>
    <row r="31" spans="1:6" ht="16.5" hidden="1">
      <c r="A31" s="8">
        <v>904496146</v>
      </c>
      <c r="B31" s="16" t="str">
        <f>IF(A31&lt;&gt;"", VLOOKUP(A31,'Danh Sách Tổng KH'!$A$1:$B$547,2,0),"")</f>
        <v>Tăng Văn Mến</v>
      </c>
      <c r="C31" s="19">
        <v>50000</v>
      </c>
      <c r="D31" s="21">
        <v>45520</v>
      </c>
      <c r="E31" s="22" t="s">
        <v>94</v>
      </c>
      <c r="F31" s="16" t="s">
        <v>96</v>
      </c>
    </row>
    <row r="32" spans="1:6" ht="16.5" hidden="1">
      <c r="A32" s="8">
        <v>939995455</v>
      </c>
      <c r="B32" s="16" t="str">
        <f>IF(A32&lt;&gt;"", VLOOKUP(A32,'Danh Sách Tổng KH'!$A$1:$B$547,2,0),"")</f>
        <v>Nguyễn Nhật Quang</v>
      </c>
      <c r="C32" s="19">
        <v>150000</v>
      </c>
      <c r="D32" s="21">
        <v>45520</v>
      </c>
      <c r="E32" s="22" t="s">
        <v>94</v>
      </c>
      <c r="F32" s="16" t="s">
        <v>96</v>
      </c>
    </row>
    <row r="33" spans="1:6" ht="16.5" hidden="1">
      <c r="A33" s="8">
        <v>939706769</v>
      </c>
      <c r="B33" s="16" t="str">
        <f>IF(A33&lt;&gt;"", VLOOKUP(A33,'Danh Sách Tổng KH'!$A$1:$B$547,2,0),"")</f>
        <v>Huỳnh Quốc Anh</v>
      </c>
      <c r="C33" s="19">
        <v>100000</v>
      </c>
      <c r="D33" s="21">
        <v>45520</v>
      </c>
      <c r="E33" s="22" t="s">
        <v>94</v>
      </c>
      <c r="F33" s="16" t="s">
        <v>96</v>
      </c>
    </row>
    <row r="34" spans="1:6" ht="16.5" hidden="1">
      <c r="A34" s="8">
        <v>772100168</v>
      </c>
      <c r="B34" s="16" t="str">
        <f>IF(A34&lt;&gt;"", VLOOKUP(A34,'Danh Sách Tổng KH'!$A$1:$B$547,2,0),"")</f>
        <v>Lê Văn Hiếu</v>
      </c>
      <c r="C34" s="19">
        <v>100000</v>
      </c>
      <c r="D34" s="21">
        <v>45520</v>
      </c>
      <c r="E34" s="22" t="s">
        <v>94</v>
      </c>
      <c r="F34" s="16" t="s">
        <v>96</v>
      </c>
    </row>
    <row r="35" spans="1:6" ht="16.5" hidden="1">
      <c r="A35" s="8">
        <v>777701923</v>
      </c>
      <c r="B35" s="16" t="str">
        <f>IF(A35&lt;&gt;"", VLOOKUP(A35,'Danh Sách Tổng KH'!$A$1:$B$547,2,0),"")</f>
        <v>Võ Quốc Khải</v>
      </c>
      <c r="C35" s="19">
        <v>100000</v>
      </c>
      <c r="D35" s="21">
        <v>45520</v>
      </c>
      <c r="E35" s="22" t="s">
        <v>94</v>
      </c>
      <c r="F35" s="16" t="s">
        <v>96</v>
      </c>
    </row>
    <row r="36" spans="1:6" ht="16.5" hidden="1">
      <c r="A36" s="8">
        <v>907738388</v>
      </c>
      <c r="B36" s="16" t="str">
        <f>IF(A36&lt;&gt;"", VLOOKUP(A36,'Danh Sách Tổng KH'!$A$1:$B$547,2,0),"")</f>
        <v>Nguyễn Hữu Duy</v>
      </c>
      <c r="C36" s="19">
        <v>150000</v>
      </c>
      <c r="D36" s="21">
        <v>45520</v>
      </c>
      <c r="E36" s="22" t="s">
        <v>94</v>
      </c>
      <c r="F36" s="16" t="s">
        <v>96</v>
      </c>
    </row>
    <row r="37" spans="1:6" ht="16.5" hidden="1">
      <c r="A37" s="8">
        <v>787931562</v>
      </c>
      <c r="B37" s="16" t="str">
        <f>IF(A37&lt;&gt;"", VLOOKUP(A37,'Danh Sách Tổng KH'!$A$1:$B$547,2,0),"")</f>
        <v>Thái Bình Dương</v>
      </c>
      <c r="C37" s="19">
        <v>100000</v>
      </c>
      <c r="D37" s="21">
        <v>45520</v>
      </c>
      <c r="E37" s="22" t="s">
        <v>94</v>
      </c>
      <c r="F37" s="16" t="s">
        <v>96</v>
      </c>
    </row>
    <row r="38" spans="1:6" ht="16.5" hidden="1">
      <c r="A38" s="8">
        <v>907768389</v>
      </c>
      <c r="B38" s="16" t="str">
        <f>IF(A38&lt;&gt;"", VLOOKUP(A38,'Danh Sách Tổng KH'!$A$1:$B$547,2,0),"")</f>
        <v>Ngô Tấn Gẩm</v>
      </c>
      <c r="C38" s="19">
        <v>100000</v>
      </c>
      <c r="D38" s="21">
        <v>45520</v>
      </c>
      <c r="E38" s="22" t="s">
        <v>94</v>
      </c>
      <c r="F38" s="16" t="s">
        <v>96</v>
      </c>
    </row>
    <row r="39" spans="1:6" ht="16.5" hidden="1">
      <c r="A39" s="8">
        <v>766973339</v>
      </c>
      <c r="B39" s="16" t="str">
        <f>IF(A39&lt;&gt;"", VLOOKUP(A39,'Danh Sách Tổng KH'!$A$1:$B$547,2,0),"")</f>
        <v>Trần Thanh Hải</v>
      </c>
      <c r="C39" s="19">
        <v>150000</v>
      </c>
      <c r="D39" s="21">
        <v>45520</v>
      </c>
      <c r="E39" s="22" t="s">
        <v>94</v>
      </c>
      <c r="F39" s="16" t="s">
        <v>96</v>
      </c>
    </row>
    <row r="40" spans="1:6" ht="16.5" hidden="1">
      <c r="A40" s="8">
        <v>905522552</v>
      </c>
      <c r="B40" s="16" t="str">
        <f>IF(A40&lt;&gt;"", VLOOKUP(A40,'Danh Sách Tổng KH'!$A$1:$B$547,2,0),"")</f>
        <v>Bùi Xuân Vinh</v>
      </c>
      <c r="C40" s="19">
        <v>150000</v>
      </c>
      <c r="D40" s="21">
        <v>45520</v>
      </c>
      <c r="E40" s="22" t="s">
        <v>94</v>
      </c>
      <c r="F40" s="16" t="s">
        <v>96</v>
      </c>
    </row>
    <row r="41" spans="1:6" ht="16.5" hidden="1">
      <c r="A41" s="8">
        <v>789639979</v>
      </c>
      <c r="B41" s="16" t="str">
        <f>IF(A41&lt;&gt;"", VLOOKUP(A41,'Danh Sách Tổng KH'!$A$1:$B$547,2,0),"")</f>
        <v>Đặng Quốc Trầm sắt LP</v>
      </c>
      <c r="C41" s="19">
        <v>150000</v>
      </c>
      <c r="D41" s="21">
        <v>45520</v>
      </c>
      <c r="E41" s="22" t="s">
        <v>94</v>
      </c>
      <c r="F41" s="16" t="s">
        <v>96</v>
      </c>
    </row>
    <row r="42" spans="1:6" ht="16.5" hidden="1">
      <c r="A42" s="8">
        <v>902426346</v>
      </c>
      <c r="B42" s="16" t="str">
        <f>IF(A42&lt;&gt;"", VLOOKUP(A42,'Danh Sách Tổng KH'!$A$1:$B$547,2,0),"")</f>
        <v>Nguyễn Minh Huy</v>
      </c>
      <c r="C42" s="19">
        <v>100000</v>
      </c>
      <c r="D42" s="21">
        <v>45520</v>
      </c>
      <c r="E42" s="22" t="s">
        <v>94</v>
      </c>
      <c r="F42" s="16" t="s">
        <v>96</v>
      </c>
    </row>
    <row r="43" spans="1:6" ht="16.5" hidden="1">
      <c r="A43" s="8">
        <v>901508510</v>
      </c>
      <c r="B43" s="16" t="str">
        <f>IF(A43&lt;&gt;"", VLOOKUP(A43,'Danh Sách Tổng KH'!$A$1:$B$547,2,0),"")</f>
        <v>Nguyễn Minh Huy</v>
      </c>
      <c r="C43" s="19">
        <v>100000</v>
      </c>
      <c r="D43" s="21">
        <v>45520</v>
      </c>
      <c r="E43" s="22" t="s">
        <v>94</v>
      </c>
      <c r="F43" s="16" t="s">
        <v>96</v>
      </c>
    </row>
    <row r="44" spans="1:6" ht="16.5" hidden="1">
      <c r="A44" s="8">
        <v>767999196</v>
      </c>
      <c r="B44" s="16" t="str">
        <f>IF(A44&lt;&gt;"", VLOOKUP(A44,'Danh Sách Tổng KH'!$A$1:$B$547,2,0),"")</f>
        <v>Nguyễn Minh Huy</v>
      </c>
      <c r="C44" s="19">
        <v>150000</v>
      </c>
      <c r="D44" s="21">
        <v>45520</v>
      </c>
      <c r="E44" s="22" t="s">
        <v>94</v>
      </c>
      <c r="F44" s="16" t="s">
        <v>96</v>
      </c>
    </row>
    <row r="45" spans="1:6" ht="16.5" hidden="1">
      <c r="A45" s="8">
        <v>786912626</v>
      </c>
      <c r="B45" s="16" t="str">
        <f>IF(A45&lt;&gt;"", VLOOKUP(A45,'Danh Sách Tổng KH'!$A$1:$B$547,2,0),"")</f>
        <v>Châu Thị Nhật Xuân</v>
      </c>
      <c r="C45" s="19">
        <v>100000</v>
      </c>
      <c r="D45" s="21">
        <v>45520</v>
      </c>
      <c r="E45" s="22" t="s">
        <v>94</v>
      </c>
      <c r="F45" s="16" t="s">
        <v>96</v>
      </c>
    </row>
    <row r="46" spans="1:6" ht="16.5" hidden="1">
      <c r="A46" s="8">
        <v>793952828</v>
      </c>
      <c r="B46" s="16" t="str">
        <f>IF(A46&lt;&gt;"", VLOOKUP(A46,'Danh Sách Tổng KH'!$A$1:$B$547,2,0),"")</f>
        <v>Châu Thị Nhật Xuân</v>
      </c>
      <c r="C46" s="19">
        <v>100000</v>
      </c>
      <c r="D46" s="21">
        <v>45520</v>
      </c>
      <c r="E46" s="22" t="s">
        <v>94</v>
      </c>
      <c r="F46" s="16" t="s">
        <v>96</v>
      </c>
    </row>
    <row r="47" spans="1:6" ht="16.5" hidden="1">
      <c r="A47" s="8">
        <v>939738736</v>
      </c>
      <c r="B47" s="16" t="str">
        <f>IF(A47&lt;&gt;"", VLOOKUP(A47,'Danh Sách Tổng KH'!$A$1:$B$547,2,0),"")</f>
        <v>Lê Long Toàn</v>
      </c>
      <c r="C47" s="19">
        <v>150000</v>
      </c>
      <c r="D47" s="21">
        <v>45520</v>
      </c>
      <c r="E47" s="22" t="s">
        <v>94</v>
      </c>
      <c r="F47" s="16" t="s">
        <v>96</v>
      </c>
    </row>
    <row r="48" spans="1:6" ht="16.5" hidden="1">
      <c r="A48" s="8">
        <v>901210900</v>
      </c>
      <c r="B48" s="16" t="str">
        <f>IF(A48&lt;&gt;"", VLOOKUP(A48,'Danh Sách Tổng KH'!$A$1:$B$547,2,0),"")</f>
        <v>Nguyễn Quốc Minh</v>
      </c>
      <c r="C48" s="19">
        <v>150000</v>
      </c>
      <c r="D48" s="21">
        <v>45520</v>
      </c>
      <c r="E48" s="22" t="s">
        <v>94</v>
      </c>
      <c r="F48" s="16" t="s">
        <v>96</v>
      </c>
    </row>
    <row r="49" spans="1:6" ht="16.5" hidden="1">
      <c r="A49" s="8">
        <v>939361611</v>
      </c>
      <c r="B49" s="16" t="str">
        <f>IF(A49&lt;&gt;"", VLOOKUP(A49,'Danh Sách Tổng KH'!$A$1:$B$547,2,0),"")</f>
        <v>Nguyễn Thị Bạch Mai</v>
      </c>
      <c r="C49" s="19">
        <v>100000</v>
      </c>
      <c r="D49" s="21">
        <v>45520</v>
      </c>
      <c r="E49" s="22" t="s">
        <v>94</v>
      </c>
      <c r="F49" s="16" t="s">
        <v>96</v>
      </c>
    </row>
    <row r="50" spans="1:6" ht="16.5" hidden="1">
      <c r="A50" s="8">
        <v>766883381</v>
      </c>
      <c r="B50" s="16" t="str">
        <f>IF(A50&lt;&gt;"", VLOOKUP(A50,'Danh Sách Tổng KH'!$A$1:$B$547,2,0),"")</f>
        <v>Nguyễn Thị Bạch Mai</v>
      </c>
      <c r="C50" s="19">
        <v>100000</v>
      </c>
      <c r="D50" s="21">
        <v>45520</v>
      </c>
      <c r="E50" s="22" t="s">
        <v>94</v>
      </c>
      <c r="F50" s="16" t="s">
        <v>96</v>
      </c>
    </row>
    <row r="51" spans="1:6" ht="16.5" hidden="1">
      <c r="A51" s="8">
        <v>795866114</v>
      </c>
      <c r="B51" s="16" t="str">
        <f>IF(A51&lt;&gt;"", VLOOKUP(A51,'Danh Sách Tổng KH'!$A$1:$B$547,2,0),"")</f>
        <v>Phạm Thị Thu Hà</v>
      </c>
      <c r="C51" s="19">
        <v>100000</v>
      </c>
      <c r="D51" s="21">
        <v>45520</v>
      </c>
      <c r="E51" s="22" t="s">
        <v>94</v>
      </c>
      <c r="F51" s="16" t="s">
        <v>96</v>
      </c>
    </row>
    <row r="52" spans="1:6" ht="16.5" hidden="1">
      <c r="A52" s="8">
        <v>907880026</v>
      </c>
      <c r="B52" s="16" t="str">
        <f>IF(A52&lt;&gt;"", VLOOKUP(A52,'Danh Sách Tổng KH'!$A$1:$B$547,2,0),"")</f>
        <v>Nguyễn Minh Khoa</v>
      </c>
      <c r="C52" s="19">
        <v>150000</v>
      </c>
      <c r="D52" s="21">
        <v>45520</v>
      </c>
      <c r="E52" s="22" t="s">
        <v>94</v>
      </c>
      <c r="F52" s="16" t="s">
        <v>96</v>
      </c>
    </row>
    <row r="53" spans="1:6" ht="16.5" hidden="1">
      <c r="A53" s="8">
        <v>789666939</v>
      </c>
      <c r="B53" s="16" t="str">
        <f>IF(A53&lt;&gt;"", VLOOKUP(A53,'Danh Sách Tổng KH'!$A$1:$B$547,2,0),"")</f>
        <v>Trần Lương Sinh</v>
      </c>
      <c r="C53" s="19">
        <v>150000</v>
      </c>
      <c r="D53" s="21">
        <v>45520</v>
      </c>
      <c r="E53" s="22" t="s">
        <v>94</v>
      </c>
      <c r="F53" s="16" t="s">
        <v>96</v>
      </c>
    </row>
    <row r="54" spans="1:6" ht="16.5" hidden="1">
      <c r="A54" s="8">
        <v>939772539</v>
      </c>
      <c r="B54" s="16" t="str">
        <f>IF(A54&lt;&gt;"", VLOOKUP(A54,'Danh Sách Tổng KH'!$A$1:$B$547,2,0),"")</f>
        <v>Lư Thị Thu Thuỷ</v>
      </c>
      <c r="C54" s="19">
        <v>200000</v>
      </c>
      <c r="D54" s="21">
        <v>45520</v>
      </c>
      <c r="E54" s="22" t="s">
        <v>94</v>
      </c>
      <c r="F54" s="16" t="s">
        <v>96</v>
      </c>
    </row>
    <row r="55" spans="1:6" ht="16.5" hidden="1">
      <c r="A55" s="8">
        <v>931010215</v>
      </c>
      <c r="B55" s="16" t="str">
        <f>IF(A55&lt;&gt;"", VLOOKUP(A55,'Danh Sách Tổng KH'!$A$1:$B$547,2,0),"")</f>
        <v>Nguyễn Thành Công</v>
      </c>
      <c r="C55" s="19">
        <v>100000</v>
      </c>
      <c r="D55" s="21">
        <v>45520</v>
      </c>
      <c r="E55" s="22" t="s">
        <v>94</v>
      </c>
      <c r="F55" s="16" t="s">
        <v>96</v>
      </c>
    </row>
    <row r="56" spans="1:6" ht="16.5" hidden="1">
      <c r="A56" s="8">
        <v>907895080</v>
      </c>
      <c r="B56" s="16" t="str">
        <f>IF(A56&lt;&gt;"", VLOOKUP(A56,'Danh Sách Tổng KH'!$A$1:$B$547,2,0),"")</f>
        <v>Phạm Văn Hậu</v>
      </c>
      <c r="C56" s="19">
        <v>150000</v>
      </c>
      <c r="D56" s="21">
        <v>45520</v>
      </c>
      <c r="E56" s="22" t="s">
        <v>94</v>
      </c>
      <c r="F56" s="16" t="s">
        <v>96</v>
      </c>
    </row>
    <row r="57" spans="1:6" ht="16.5" hidden="1">
      <c r="A57" s="8">
        <v>706708716</v>
      </c>
      <c r="B57" s="16" t="str">
        <f>IF(A57&lt;&gt;"", VLOOKUP(A57,'Danh Sách Tổng KH'!$A$1:$B$547,2,0),"")</f>
        <v>Huỳnh Thị Hoàng Yến</v>
      </c>
      <c r="C57" s="19">
        <v>450000</v>
      </c>
      <c r="D57" s="21">
        <v>45520</v>
      </c>
      <c r="E57" s="22" t="s">
        <v>94</v>
      </c>
      <c r="F57" s="16" t="s">
        <v>96</v>
      </c>
    </row>
    <row r="58" spans="1:6" ht="16.5" hidden="1">
      <c r="A58" s="8">
        <v>939067079</v>
      </c>
      <c r="B58" s="16" t="str">
        <f>IF(A58&lt;&gt;"", VLOOKUP(A58,'Danh Sách Tổng KH'!$A$1:$B$547,2,0),"")</f>
        <v>Lê Thanh Dũng</v>
      </c>
      <c r="C58" s="19">
        <v>150000</v>
      </c>
      <c r="D58" s="21">
        <v>45520</v>
      </c>
      <c r="E58" s="22" t="s">
        <v>94</v>
      </c>
      <c r="F58" s="16" t="s">
        <v>96</v>
      </c>
    </row>
    <row r="59" spans="1:6" ht="16.5" hidden="1">
      <c r="A59" s="8">
        <v>939829599</v>
      </c>
      <c r="B59" s="16" t="str">
        <f>IF(A59&lt;&gt;"", VLOOKUP(A59,'Danh Sách Tổng KH'!$A$1:$B$547,2,0),"")</f>
        <v>Nguyễn Tấn Lực</v>
      </c>
      <c r="C59" s="19">
        <v>150000</v>
      </c>
      <c r="D59" s="21">
        <v>45520</v>
      </c>
      <c r="E59" s="22" t="s">
        <v>94</v>
      </c>
      <c r="F59" s="16" t="s">
        <v>96</v>
      </c>
    </row>
    <row r="60" spans="1:6" ht="16.5" hidden="1">
      <c r="A60" s="8">
        <v>901050533</v>
      </c>
      <c r="B60" s="16" t="str">
        <f>IF(A60&lt;&gt;"", VLOOKUP(A60,'Danh Sách Tổng KH'!$A$1:$B$547,2,0),"")</f>
        <v>Lâm Thị Phương Thuỷ</v>
      </c>
      <c r="C60" s="19">
        <v>150000</v>
      </c>
      <c r="D60" s="21">
        <v>45520</v>
      </c>
      <c r="E60" s="22" t="s">
        <v>94</v>
      </c>
      <c r="F60" s="16" t="s">
        <v>96</v>
      </c>
    </row>
    <row r="61" spans="1:6" ht="16.5" hidden="1">
      <c r="A61" s="8">
        <v>901099976</v>
      </c>
      <c r="B61" s="16" t="str">
        <f>IF(A61&lt;&gt;"", VLOOKUP(A61,'Danh Sách Tổng KH'!$A$1:$B$547,2,0),"")</f>
        <v>Lâm Thị Phương Thuỷ</v>
      </c>
      <c r="C61" s="19">
        <v>150000</v>
      </c>
      <c r="D61" s="21">
        <v>45520</v>
      </c>
      <c r="E61" s="22" t="s">
        <v>94</v>
      </c>
      <c r="F61" s="16" t="s">
        <v>96</v>
      </c>
    </row>
    <row r="62" spans="1:6" ht="16.5" hidden="1">
      <c r="A62" s="8">
        <v>901001639</v>
      </c>
      <c r="B62" s="16" t="str">
        <f>IF(A62&lt;&gt;"", VLOOKUP(A62,'Danh Sách Tổng KH'!$A$1:$B$547,2,0),"")</f>
        <v>Đặng Hoàng Sơn</v>
      </c>
      <c r="C62" s="19">
        <v>100000</v>
      </c>
      <c r="D62" s="21">
        <v>45520</v>
      </c>
      <c r="E62" s="22" t="s">
        <v>94</v>
      </c>
      <c r="F62" s="16" t="s">
        <v>96</v>
      </c>
    </row>
    <row r="63" spans="1:6" ht="16.5" hidden="1">
      <c r="A63" s="8">
        <v>788771114</v>
      </c>
      <c r="B63" s="16" t="str">
        <f>IF(A63&lt;&gt;"", VLOOKUP(A63,'Danh Sách Tổng KH'!$A$1:$B$547,2,0),"")</f>
        <v>Trần Tuấn Khanh</v>
      </c>
      <c r="C63" s="19">
        <v>200000</v>
      </c>
      <c r="D63" s="21">
        <v>45520</v>
      </c>
      <c r="E63" s="22" t="s">
        <v>94</v>
      </c>
      <c r="F63" s="16" t="s">
        <v>96</v>
      </c>
    </row>
    <row r="64" spans="1:6" ht="16.5" hidden="1">
      <c r="A64" s="8">
        <v>939112983</v>
      </c>
      <c r="B64" s="16" t="str">
        <f>IF(A64&lt;&gt;"", VLOOKUP(A64,'Danh Sách Tổng KH'!$A$1:$B$547,2,0),"")</f>
        <v>Nguyễn Thị Kim Ngân Mật ong LP</v>
      </c>
      <c r="C64" s="19">
        <v>100000</v>
      </c>
      <c r="D64" s="21">
        <v>45520</v>
      </c>
      <c r="E64" s="22" t="s">
        <v>94</v>
      </c>
      <c r="F64" s="16" t="s">
        <v>96</v>
      </c>
    </row>
    <row r="65" spans="1:6" ht="16.5" hidden="1">
      <c r="A65" s="8">
        <v>907022499</v>
      </c>
      <c r="B65" s="16" t="str">
        <f>IF(A65&lt;&gt;"", VLOOKUP(A65,'Danh Sách Tổng KH'!$A$1:$B$547,2,0),"")</f>
        <v>Lại Diễm Trường</v>
      </c>
      <c r="C65" s="19">
        <v>200000</v>
      </c>
      <c r="D65" s="21">
        <v>45520</v>
      </c>
      <c r="E65" s="22" t="s">
        <v>94</v>
      </c>
      <c r="F65" s="16" t="s">
        <v>96</v>
      </c>
    </row>
    <row r="66" spans="1:6" ht="16.5" hidden="1">
      <c r="A66" s="8">
        <v>766875544</v>
      </c>
      <c r="B66" s="16" t="str">
        <f>IF(A66&lt;&gt;"", VLOOKUP(A66,'Danh Sách Tổng KH'!$A$1:$B$547,2,0),"")</f>
        <v>Nguyễn Ngọc Phúc</v>
      </c>
      <c r="C66" s="19">
        <v>200000</v>
      </c>
      <c r="D66" s="21">
        <v>45520</v>
      </c>
      <c r="E66" s="22" t="s">
        <v>94</v>
      </c>
      <c r="F66" s="16" t="s">
        <v>96</v>
      </c>
    </row>
    <row r="67" spans="1:6" ht="16.5" hidden="1">
      <c r="A67" s="8">
        <v>939000349</v>
      </c>
      <c r="B67" s="16" t="str">
        <f>IF(A67&lt;&gt;"", VLOOKUP(A67,'Danh Sách Tổng KH'!$A$1:$B$547,2,0),"")</f>
        <v>Trần Thị Cẩm Tú</v>
      </c>
      <c r="C67" s="19">
        <v>150000</v>
      </c>
      <c r="D67" s="21">
        <v>45520</v>
      </c>
      <c r="E67" s="22" t="s">
        <v>94</v>
      </c>
      <c r="F67" s="16" t="s">
        <v>96</v>
      </c>
    </row>
    <row r="68" spans="1:6" ht="16.5" hidden="1">
      <c r="A68" s="8">
        <v>798024668</v>
      </c>
      <c r="B68" s="16" t="str">
        <f>IF(A68&lt;&gt;"", VLOOKUP(A68,'Danh Sách Tổng KH'!$A$1:$B$547,2,0),"")</f>
        <v>Huỳnh Long Hiền</v>
      </c>
      <c r="C68" s="19">
        <v>250000</v>
      </c>
      <c r="D68" s="21">
        <v>45520</v>
      </c>
      <c r="E68" s="22" t="s">
        <v>94</v>
      </c>
      <c r="F68" s="16" t="s">
        <v>96</v>
      </c>
    </row>
    <row r="69" spans="1:6" ht="16.5" hidden="1">
      <c r="A69" s="8">
        <v>786866266</v>
      </c>
      <c r="B69" s="16" t="str">
        <f>IF(A69&lt;&gt;"", VLOOKUP(A69,'Danh Sách Tổng KH'!$A$1:$B$547,2,0),"")</f>
        <v>Huỳnh Long Hiền</v>
      </c>
      <c r="C69" s="19">
        <v>150000</v>
      </c>
      <c r="D69" s="21">
        <v>45520</v>
      </c>
      <c r="E69" s="22" t="s">
        <v>94</v>
      </c>
      <c r="F69" s="16" t="s">
        <v>96</v>
      </c>
    </row>
    <row r="70" spans="1:6" ht="16.5" hidden="1">
      <c r="A70" s="8">
        <v>939130478</v>
      </c>
      <c r="B70" s="16" t="str">
        <f>IF(A70&lt;&gt;"", VLOOKUP(A70,'Danh Sách Tổng KH'!$A$1:$B$547,2,0),"")</f>
        <v>Nguyễn Thị Thu Hiền</v>
      </c>
      <c r="C70" s="19">
        <v>200000</v>
      </c>
      <c r="D70" s="21">
        <v>45520</v>
      </c>
      <c r="E70" s="22" t="s">
        <v>94</v>
      </c>
      <c r="F70" s="16" t="s">
        <v>96</v>
      </c>
    </row>
    <row r="71" spans="1:6" ht="16.5" hidden="1">
      <c r="A71" s="8">
        <v>783922979</v>
      </c>
      <c r="B71" s="16" t="str">
        <f>IF(A71&lt;&gt;"", VLOOKUP(A71,'Danh Sách Tổng KH'!$A$1:$B$547,2,0),"")</f>
        <v>Đặng Thị Minh Giang</v>
      </c>
      <c r="C71" s="19">
        <v>50000</v>
      </c>
      <c r="D71" s="21">
        <v>45520</v>
      </c>
      <c r="E71" s="22" t="s">
        <v>94</v>
      </c>
      <c r="F71" s="16" t="s">
        <v>96</v>
      </c>
    </row>
    <row r="72" spans="1:6" ht="16.5" hidden="1">
      <c r="A72" s="8">
        <v>939231991</v>
      </c>
      <c r="B72" s="16" t="str">
        <f>IF(A72&lt;&gt;"", VLOOKUP(A72,'Danh Sách Tổng KH'!$A$1:$B$547,2,0),"")</f>
        <v>Võ Thị Bích Tuyền</v>
      </c>
      <c r="C72" s="19">
        <v>200000</v>
      </c>
      <c r="D72" s="21">
        <v>45520</v>
      </c>
      <c r="E72" s="22" t="s">
        <v>94</v>
      </c>
      <c r="F72" s="16" t="s">
        <v>96</v>
      </c>
    </row>
    <row r="73" spans="1:6" ht="16.5" hidden="1">
      <c r="A73" s="8">
        <v>939892768</v>
      </c>
      <c r="B73" s="16" t="str">
        <f>IF(A73&lt;&gt;"", VLOOKUP(A73,'Danh Sách Tổng KH'!$A$1:$B$547,2,0),"")</f>
        <v>Trương Tuấn Thành</v>
      </c>
      <c r="C73" s="19">
        <v>300000</v>
      </c>
      <c r="D73" s="21">
        <v>45520</v>
      </c>
      <c r="E73" s="22" t="s">
        <v>94</v>
      </c>
      <c r="F73" s="16" t="s">
        <v>96</v>
      </c>
    </row>
    <row r="74" spans="1:6" ht="16.5" hidden="1">
      <c r="A74" s="8">
        <v>939031068</v>
      </c>
      <c r="B74" s="16" t="str">
        <f>IF(A74&lt;&gt;"", VLOOKUP(A74,'Danh Sách Tổng KH'!$A$1:$B$547,2,0),"")</f>
        <v>Trương Tuấn Thành</v>
      </c>
      <c r="C74" s="19">
        <v>150000</v>
      </c>
      <c r="D74" s="21">
        <v>45520</v>
      </c>
      <c r="E74" s="22" t="s">
        <v>94</v>
      </c>
      <c r="F74" s="16" t="s">
        <v>96</v>
      </c>
    </row>
    <row r="75" spans="1:6" ht="16.5" hidden="1">
      <c r="A75" s="8">
        <v>939767589</v>
      </c>
      <c r="B75" s="16" t="str">
        <f>IF(A75&lt;&gt;"", VLOOKUP(A75,'Danh Sách Tổng KH'!$A$1:$B$547,2,0),"")</f>
        <v>Lê Thanh Phùng</v>
      </c>
      <c r="C75" s="19">
        <v>150000</v>
      </c>
      <c r="D75" s="21">
        <v>45520</v>
      </c>
      <c r="E75" s="22" t="s">
        <v>94</v>
      </c>
      <c r="F75" s="16" t="s">
        <v>96</v>
      </c>
    </row>
    <row r="76" spans="1:6" ht="16.5" hidden="1">
      <c r="A76" s="8">
        <v>932959353</v>
      </c>
      <c r="B76" s="16" t="str">
        <f>IF(A76&lt;&gt;"", VLOOKUP(A76,'Danh Sách Tổng KH'!$A$1:$B$547,2,0),"")</f>
        <v>Lê Thanh Điền</v>
      </c>
      <c r="C76" s="19">
        <v>150000</v>
      </c>
      <c r="D76" s="21">
        <v>45520</v>
      </c>
      <c r="E76" s="22" t="s">
        <v>94</v>
      </c>
      <c r="F76" s="16" t="s">
        <v>96</v>
      </c>
    </row>
    <row r="77" spans="1:6" ht="16.5" hidden="1">
      <c r="A77" s="8">
        <v>939396664</v>
      </c>
      <c r="B77" s="16" t="str">
        <f>IF(A77&lt;&gt;"", VLOOKUP(A77,'Danh Sách Tổng KH'!$A$1:$B$547,2,0),"")</f>
        <v>Lâm Tấn Thành</v>
      </c>
      <c r="C77" s="19">
        <v>200000</v>
      </c>
      <c r="D77" s="21">
        <v>45520</v>
      </c>
      <c r="E77" s="22" t="s">
        <v>94</v>
      </c>
      <c r="F77" s="16" t="s">
        <v>96</v>
      </c>
    </row>
    <row r="78" spans="1:6" ht="16.5" hidden="1">
      <c r="A78" s="8">
        <v>931051686</v>
      </c>
      <c r="B78" s="16" t="str">
        <f>IF(A78&lt;&gt;"", VLOOKUP(A78,'Danh Sách Tổng KH'!$A$1:$B$547,2,0),"")</f>
        <v>Trần Ngọc Trâm Anh</v>
      </c>
      <c r="C78" s="19">
        <v>150000</v>
      </c>
      <c r="D78" s="21">
        <v>45520</v>
      </c>
      <c r="E78" s="22" t="s">
        <v>94</v>
      </c>
      <c r="F78" s="16" t="s">
        <v>96</v>
      </c>
    </row>
    <row r="79" spans="1:6" ht="16.5" hidden="1">
      <c r="A79" s="8">
        <v>939422136</v>
      </c>
      <c r="B79" s="16" t="str">
        <f>IF(A79&lt;&gt;"", VLOOKUP(A79,'Danh Sách Tổng KH'!$A$1:$B$547,2,0),"")</f>
        <v>Ngô Chí Thanh</v>
      </c>
      <c r="C79" s="19">
        <v>100000</v>
      </c>
      <c r="D79" s="21">
        <v>45521</v>
      </c>
      <c r="E79" s="22" t="s">
        <v>56</v>
      </c>
      <c r="F79" s="16" t="s">
        <v>444</v>
      </c>
    </row>
    <row r="80" spans="1:6" ht="16.5" hidden="1">
      <c r="A80" s="8">
        <v>783799099</v>
      </c>
      <c r="B80" s="16" t="str">
        <f>IF(A80&lt;&gt;"", VLOOKUP(A80,'Danh Sách Tổng KH'!$A$1:$B$547,2,0),"")</f>
        <v>Nguyễn Bích Dung</v>
      </c>
      <c r="C80" s="19">
        <v>150000</v>
      </c>
      <c r="D80" s="21">
        <v>45523</v>
      </c>
      <c r="E80" s="22" t="s">
        <v>94</v>
      </c>
      <c r="F80" s="16" t="s">
        <v>449</v>
      </c>
    </row>
    <row r="81" spans="1:6" ht="16.5" hidden="1">
      <c r="A81" s="8">
        <v>939790925</v>
      </c>
      <c r="B81" s="16" t="str">
        <f>IF(A81&lt;&gt;"", VLOOKUP(A81,'Danh Sách Tổng KH'!$A$1:$B$547,2,0),"")</f>
        <v>Lê Thị Thu Thủy</v>
      </c>
      <c r="C81" s="19">
        <v>100000</v>
      </c>
      <c r="D81" s="21">
        <v>45524</v>
      </c>
      <c r="E81" s="22" t="s">
        <v>94</v>
      </c>
      <c r="F81" s="16" t="s">
        <v>457</v>
      </c>
    </row>
    <row r="82" spans="1:6" ht="16.5" hidden="1">
      <c r="A82" s="8">
        <v>908055725</v>
      </c>
      <c r="B82" s="16" t="str">
        <f>IF(A82&lt;&gt;"", VLOOKUP(A82,'Danh Sách Tổng KH'!$A$1:$B$547,2,0),"")</f>
        <v>Nguyễn Thị Xuân Liễu</v>
      </c>
      <c r="C82" s="19">
        <v>1000000</v>
      </c>
      <c r="D82" s="21">
        <v>45527</v>
      </c>
      <c r="E82" s="22" t="s">
        <v>56</v>
      </c>
      <c r="F82" s="16" t="s">
        <v>462</v>
      </c>
    </row>
    <row r="83" spans="1:6" ht="16.5" hidden="1">
      <c r="A83" s="8">
        <v>907646875</v>
      </c>
      <c r="B83" s="16" t="str">
        <f>IF(A83&lt;&gt;"", VLOOKUP(A83,'Danh Sách Tổng KH'!$A$1:$B$547,2,0),"")</f>
        <v>Nguyễn Thị Đan Thanh</v>
      </c>
      <c r="C83" s="19">
        <v>250000</v>
      </c>
      <c r="D83" s="21">
        <v>45531</v>
      </c>
      <c r="E83" s="22" t="s">
        <v>94</v>
      </c>
      <c r="F83" s="16" t="s">
        <v>466</v>
      </c>
    </row>
    <row r="84" spans="1:6" ht="16.5" hidden="1">
      <c r="A84" s="8">
        <v>777292268</v>
      </c>
      <c r="B84" s="16" t="str">
        <f>IF(A84&lt;&gt;"", VLOOKUP(A84,'Danh Sách Tổng KH'!$A$1:$B$547,2,0),"")</f>
        <v>Nguyễn Thị Đan Thanh</v>
      </c>
      <c r="C84" s="19">
        <v>100000</v>
      </c>
      <c r="D84" s="21">
        <v>45531</v>
      </c>
      <c r="E84" s="22" t="s">
        <v>94</v>
      </c>
      <c r="F84" s="16" t="s">
        <v>466</v>
      </c>
    </row>
    <row r="85" spans="1:6" ht="16.5" hidden="1">
      <c r="A85" s="8">
        <v>939823336</v>
      </c>
      <c r="B85" s="16" t="str">
        <f>IF(A85&lt;&gt;"", VLOOKUP(A85,'Danh Sách Tổng KH'!$A$1:$B$547,2,0),"")</f>
        <v>Đoàn Thị Phương Yến</v>
      </c>
      <c r="C85" s="19">
        <v>150000</v>
      </c>
      <c r="D85" s="21">
        <v>45531</v>
      </c>
      <c r="E85" s="22" t="s">
        <v>56</v>
      </c>
      <c r="F85" s="16" t="s">
        <v>466</v>
      </c>
    </row>
    <row r="86" spans="1:6" ht="16.5" hidden="1">
      <c r="A86" s="8">
        <v>788788828</v>
      </c>
      <c r="B86" s="16" t="str">
        <f>IF(A86&lt;&gt;"", VLOOKUP(A86,'Danh Sách Tổng KH'!$A$1:$B$547,2,0),"")</f>
        <v>Nguyễn Quang Trường</v>
      </c>
      <c r="C86" s="19">
        <v>120000</v>
      </c>
      <c r="D86" s="21">
        <v>45531</v>
      </c>
      <c r="E86" s="22" t="s">
        <v>56</v>
      </c>
      <c r="F86" s="16" t="s">
        <v>466</v>
      </c>
    </row>
    <row r="87" spans="1:6" ht="16.5" hidden="1">
      <c r="A87" s="8">
        <v>901225979</v>
      </c>
      <c r="B87" s="16" t="str">
        <f>IF(A87&lt;&gt;"", VLOOKUP(A87,'Danh Sách Tổng KH'!$A$1:$B$547,2,0),"")</f>
        <v>Nguyễn Hữu Hạnh</v>
      </c>
      <c r="C87" s="19">
        <v>200000</v>
      </c>
      <c r="D87" s="21">
        <v>45531</v>
      </c>
      <c r="E87" s="22" t="s">
        <v>94</v>
      </c>
      <c r="F87" s="16" t="s">
        <v>482</v>
      </c>
    </row>
    <row r="88" spans="1:6" ht="16.5" hidden="1">
      <c r="A88" s="8">
        <v>932803632</v>
      </c>
      <c r="B88" s="16" t="str">
        <f>IF(A88&lt;&gt;"", VLOOKUP(A88,'Danh Sách Tổng KH'!$A$1:$B$547,2,0),"")</f>
        <v>Nguyễn Thị Nguyệt</v>
      </c>
      <c r="C88" s="19">
        <v>50000</v>
      </c>
      <c r="D88" s="21">
        <v>45534</v>
      </c>
      <c r="E88" s="22" t="s">
        <v>56</v>
      </c>
      <c r="F88" s="16" t="s">
        <v>483</v>
      </c>
    </row>
    <row r="89" spans="1:6" ht="16.5" hidden="1">
      <c r="A89" s="8">
        <v>932929119</v>
      </c>
      <c r="B89" s="16" t="str">
        <f>IF(A89&lt;&gt;"", VLOOKUP(A89,'Danh Sách Tổng KH'!$A$1:$B$547,2,0),"")</f>
        <v>Phạm Hoài Nam</v>
      </c>
      <c r="C89" s="19">
        <v>200000</v>
      </c>
      <c r="D89" s="21">
        <v>45535</v>
      </c>
      <c r="E89" s="22" t="s">
        <v>94</v>
      </c>
      <c r="F89" s="16" t="s">
        <v>484</v>
      </c>
    </row>
    <row r="90" spans="1:6" ht="16.5" hidden="1">
      <c r="A90" s="8">
        <v>901059299</v>
      </c>
      <c r="B90" s="16" t="str">
        <f>IF(A90&lt;&gt;"", VLOOKUP(A90,'Danh Sách Tổng KH'!$A$1:$B$547,2,0),"")</f>
        <v>Nhan Thanh Nhân</v>
      </c>
      <c r="C90" s="19">
        <v>150000</v>
      </c>
      <c r="D90" s="21">
        <v>45535</v>
      </c>
      <c r="E90" s="22" t="s">
        <v>94</v>
      </c>
      <c r="F90" s="16" t="s">
        <v>484</v>
      </c>
    </row>
    <row r="91" spans="1:6" ht="16.5" hidden="1">
      <c r="A91" s="8">
        <v>939930030</v>
      </c>
      <c r="B91" s="16" t="str">
        <f>IF(A91&lt;&gt;"", VLOOKUP(A91,'Danh Sách Tổng KH'!$A$1:$B$547,2,0),"")</f>
        <v>Nguyễn Phúc Thiện</v>
      </c>
      <c r="C91" s="19">
        <v>150000</v>
      </c>
      <c r="D91" s="21">
        <v>45535</v>
      </c>
      <c r="E91" s="22" t="s">
        <v>94</v>
      </c>
      <c r="F91" s="16" t="s">
        <v>484</v>
      </c>
    </row>
    <row r="92" spans="1:6" ht="16.5" hidden="1">
      <c r="A92" s="8">
        <v>932896296</v>
      </c>
      <c r="B92" s="16" t="str">
        <f>IF(A92&lt;&gt;"", VLOOKUP(A92,'Danh Sách Tổng KH'!$A$1:$B$547,2,0),"")</f>
        <v>Từ Thục Mẫn</v>
      </c>
      <c r="C92" s="19">
        <v>150000</v>
      </c>
      <c r="D92" s="21">
        <v>45535</v>
      </c>
      <c r="E92" s="22" t="s">
        <v>94</v>
      </c>
      <c r="F92" s="16" t="s">
        <v>484</v>
      </c>
    </row>
    <row r="93" spans="1:6" ht="16.5" hidden="1">
      <c r="A93" s="8">
        <v>931118184</v>
      </c>
      <c r="B93" s="16" t="str">
        <f>IF(A93&lt;&gt;"", VLOOKUP(A93,'Danh Sách Tổng KH'!$A$1:$B$547,2,0),"")</f>
        <v>DNTN Như Thùy Linh</v>
      </c>
      <c r="C93" s="19">
        <v>200000</v>
      </c>
      <c r="D93" s="21">
        <v>45535</v>
      </c>
      <c r="E93" s="22" t="s">
        <v>94</v>
      </c>
      <c r="F93" s="16" t="s">
        <v>484</v>
      </c>
    </row>
    <row r="94" spans="1:6" ht="16.5" hidden="1">
      <c r="A94" s="8">
        <v>779867879</v>
      </c>
      <c r="B94" s="16" t="str">
        <f>IF(A94&lt;&gt;"", VLOOKUP(A94,'Danh Sách Tổng KH'!$A$1:$B$547,2,0),"")</f>
        <v>Nguyễn Khắc Anh</v>
      </c>
      <c r="C94" s="19">
        <v>200000</v>
      </c>
      <c r="D94" s="21">
        <v>45535</v>
      </c>
      <c r="E94" s="22" t="s">
        <v>94</v>
      </c>
      <c r="F94" s="16" t="s">
        <v>484</v>
      </c>
    </row>
    <row r="95" spans="1:6" ht="16.5" hidden="1">
      <c r="A95" s="8">
        <v>793911388</v>
      </c>
      <c r="B95" s="16" t="str">
        <f>IF(A95&lt;&gt;"", VLOOKUP(A95,'Danh Sách Tổng KH'!$A$1:$B$547,2,0),"")</f>
        <v>Nguyễn Kim Liên</v>
      </c>
      <c r="C95" s="19">
        <v>200000</v>
      </c>
      <c r="D95" s="21">
        <v>45535</v>
      </c>
      <c r="E95" s="22" t="s">
        <v>94</v>
      </c>
      <c r="F95" s="16" t="s">
        <v>484</v>
      </c>
    </row>
    <row r="96" spans="1:6" ht="16.5" hidden="1">
      <c r="A96" s="8">
        <v>901029299</v>
      </c>
      <c r="B96" s="16" t="str">
        <f>IF(A96&lt;&gt;"", VLOOKUP(A96,'Danh Sách Tổng KH'!$A$1:$B$547,2,0),"")</f>
        <v>Nguyễn Kim Liên</v>
      </c>
      <c r="C96" s="19">
        <v>150000</v>
      </c>
      <c r="D96" s="21">
        <v>45535</v>
      </c>
      <c r="E96" s="22" t="s">
        <v>94</v>
      </c>
      <c r="F96" s="16" t="s">
        <v>484</v>
      </c>
    </row>
    <row r="97" spans="1:6" ht="16.5" hidden="1">
      <c r="A97" s="8">
        <v>901079299</v>
      </c>
      <c r="B97" s="16" t="str">
        <f>IF(A97&lt;&gt;"", VLOOKUP(A97,'Danh Sách Tổng KH'!$A$1:$B$547,2,0),"")</f>
        <v>Nguyễn Kim Liên</v>
      </c>
      <c r="C97" s="19">
        <v>150000</v>
      </c>
      <c r="D97" s="21">
        <v>45535</v>
      </c>
      <c r="E97" s="22" t="s">
        <v>94</v>
      </c>
      <c r="F97" s="16" t="s">
        <v>484</v>
      </c>
    </row>
    <row r="98" spans="1:6" ht="16.5" hidden="1">
      <c r="A98" s="8">
        <v>907101268</v>
      </c>
      <c r="B98" s="16" t="str">
        <f>IF(A98&lt;&gt;"", VLOOKUP(A98,'Danh Sách Tổng KH'!$A$1:$B$547,2,0),"")</f>
        <v>Trần Quốc Đạt</v>
      </c>
      <c r="C98" s="19">
        <v>150000</v>
      </c>
      <c r="D98" s="21">
        <v>45535</v>
      </c>
      <c r="E98" s="22" t="s">
        <v>94</v>
      </c>
      <c r="F98" s="16" t="s">
        <v>484</v>
      </c>
    </row>
    <row r="99" spans="1:6" ht="16.5" hidden="1">
      <c r="A99" s="8">
        <v>907883359</v>
      </c>
      <c r="B99" s="16" t="str">
        <f>IF(A99&lt;&gt;"", VLOOKUP(A99,'Danh Sách Tổng KH'!$A$1:$B$547,2,0),"")</f>
        <v>Đặng Hoàng Tuấn</v>
      </c>
      <c r="C99" s="19">
        <v>300000</v>
      </c>
      <c r="D99" s="21">
        <v>45535</v>
      </c>
      <c r="E99" s="22" t="s">
        <v>94</v>
      </c>
      <c r="F99" s="16" t="s">
        <v>484</v>
      </c>
    </row>
    <row r="100" spans="1:6" ht="16.5" hidden="1">
      <c r="A100" s="8">
        <v>899507261</v>
      </c>
      <c r="B100" s="16" t="str">
        <f>IF(A100&lt;&gt;"", VLOOKUP(A100,'Danh Sách Tổng KH'!$A$1:$B$547,2,0),"")</f>
        <v>Nguyễn Thị Mỹ Ngọc</v>
      </c>
      <c r="C100" s="19">
        <v>100000</v>
      </c>
      <c r="D100" s="21">
        <v>45535</v>
      </c>
      <c r="E100" s="22" t="s">
        <v>94</v>
      </c>
      <c r="F100" s="16" t="s">
        <v>484</v>
      </c>
    </row>
    <row r="101" spans="1:6" ht="16.5" hidden="1">
      <c r="A101" s="8">
        <v>977283949</v>
      </c>
      <c r="B101" s="16" t="str">
        <f>IF(A101&lt;&gt;"", VLOOKUP(A101,'Danh Sách Tổng KH'!$A$1:$B$547,2,0),"")</f>
        <v>Trần Thị Mộng Cầm</v>
      </c>
      <c r="C101" s="19">
        <v>200000</v>
      </c>
      <c r="D101" s="21">
        <v>45535</v>
      </c>
      <c r="E101" s="22" t="s">
        <v>94</v>
      </c>
      <c r="F101" s="16" t="s">
        <v>484</v>
      </c>
    </row>
    <row r="102" spans="1:6" ht="16.5" hidden="1">
      <c r="A102" s="8">
        <v>939359580</v>
      </c>
      <c r="B102" s="16" t="str">
        <f>IF(A102&lt;&gt;"", VLOOKUP(A102,'Danh Sách Tổng KH'!$A$1:$B$547,2,0),"")</f>
        <v>Trần Thị Mỹ Cầm</v>
      </c>
      <c r="C102" s="19">
        <v>250000</v>
      </c>
      <c r="D102" s="21">
        <v>45535</v>
      </c>
      <c r="E102" s="22" t="s">
        <v>94</v>
      </c>
      <c r="F102" s="16" t="s">
        <v>484</v>
      </c>
    </row>
    <row r="103" spans="1:6" ht="16.5" hidden="1">
      <c r="A103" s="8">
        <v>702896623</v>
      </c>
      <c r="B103" s="16" t="str">
        <f>IF(A103&lt;&gt;"", VLOOKUP(A103,'Danh Sách Tổng KH'!$A$1:$B$547,2,0),"")</f>
        <v>Nguyễn Thị Cẩm Vân</v>
      </c>
      <c r="C103" s="19">
        <v>100000</v>
      </c>
      <c r="D103" s="21">
        <v>45535</v>
      </c>
      <c r="E103" s="22" t="s">
        <v>94</v>
      </c>
      <c r="F103" s="16" t="s">
        <v>484</v>
      </c>
    </row>
    <row r="104" spans="1:6" ht="16.5" hidden="1">
      <c r="A104" s="8">
        <v>907917191</v>
      </c>
      <c r="B104" s="16" t="str">
        <f>IF(A104&lt;&gt;"", VLOOKUP(A104,'Danh Sách Tổng KH'!$A$1:$B$547,2,0),"")</f>
        <v>Phan Thành Long</v>
      </c>
      <c r="C104" s="19">
        <v>200000</v>
      </c>
      <c r="D104" s="21">
        <v>45535</v>
      </c>
      <c r="E104" s="22" t="s">
        <v>94</v>
      </c>
      <c r="F104" s="16" t="s">
        <v>484</v>
      </c>
    </row>
    <row r="105" spans="1:6" ht="16.5" hidden="1">
      <c r="A105" s="8">
        <v>706604666</v>
      </c>
      <c r="B105" s="16" t="str">
        <f>IF(A105&lt;&gt;"", VLOOKUP(A105,'Danh Sách Tổng KH'!$A$1:$B$547,2,0),"")</f>
        <v>Nguyễn Chí Trung</v>
      </c>
      <c r="C105" s="19">
        <v>350000</v>
      </c>
      <c r="D105" s="21">
        <v>45535</v>
      </c>
      <c r="E105" s="22" t="s">
        <v>56</v>
      </c>
      <c r="F105" s="16" t="s">
        <v>485</v>
      </c>
    </row>
    <row r="106" spans="1:6" ht="16.5" hidden="1">
      <c r="A106" s="8">
        <v>907998131</v>
      </c>
      <c r="B106" s="16" t="str">
        <f>IF(A106&lt;&gt;"", VLOOKUP(A106,'Danh Sách Tổng KH'!$A$1:$B$547,2,0),"")</f>
        <v>Nguyễn Xuân Thu</v>
      </c>
      <c r="C106" s="19">
        <v>100000</v>
      </c>
      <c r="D106" s="21">
        <v>45545</v>
      </c>
      <c r="E106" s="22" t="s">
        <v>94</v>
      </c>
      <c r="F106" s="16" t="s">
        <v>486</v>
      </c>
    </row>
    <row r="107" spans="1:6" ht="16.5" hidden="1">
      <c r="A107" s="8">
        <v>932896296</v>
      </c>
      <c r="B107" s="16" t="str">
        <f>IF(A107&lt;&gt;"", VLOOKUP(A107,'Danh Sách Tổng KH'!$A$1:$B$547,2,0),"")</f>
        <v>Từ Thục Mẫn</v>
      </c>
      <c r="C107" s="19">
        <v>150000</v>
      </c>
      <c r="D107" s="21">
        <v>45562</v>
      </c>
      <c r="E107" s="22" t="s">
        <v>94</v>
      </c>
      <c r="F107" s="16" t="s">
        <v>487</v>
      </c>
    </row>
    <row r="108" spans="1:6" ht="16.5" hidden="1">
      <c r="A108" s="8">
        <v>907332844</v>
      </c>
      <c r="B108" s="16" t="str">
        <f>IF(A108&lt;&gt;"", VLOOKUP(A108,'Danh Sách Tổng KH'!$A$1:$B$547,2,0),"")</f>
        <v>Hồng Tấn Thành</v>
      </c>
      <c r="C108" s="19">
        <v>50000</v>
      </c>
      <c r="D108" s="21">
        <v>45562</v>
      </c>
      <c r="E108" s="22" t="s">
        <v>56</v>
      </c>
      <c r="F108" s="16" t="s">
        <v>487</v>
      </c>
    </row>
    <row r="109" spans="1:6" ht="16.5" hidden="1">
      <c r="A109" s="8">
        <v>787976362</v>
      </c>
      <c r="B109" s="16" t="str">
        <f>IF(A109&lt;&gt;"", VLOOKUP(A109,'Danh Sách Tổng KH'!$A$1:$B$547,2,0),"")</f>
        <v>Nguyễn Tuấn Tài</v>
      </c>
      <c r="C109" s="19">
        <v>160000</v>
      </c>
      <c r="D109" s="21">
        <v>45566</v>
      </c>
      <c r="E109" s="22" t="s">
        <v>56</v>
      </c>
      <c r="F109" s="16" t="s">
        <v>488</v>
      </c>
    </row>
    <row r="110" spans="1:6" ht="16.5" hidden="1">
      <c r="A110" s="8">
        <v>939842959</v>
      </c>
      <c r="B110" s="16" t="str">
        <f>IF(A110&lt;&gt;"", VLOOKUP(A110,'Danh Sách Tổng KH'!$A$1:$B$547,2,0),"")</f>
        <v>Huỳnh Ngọc Dung</v>
      </c>
      <c r="C110" s="19">
        <v>160000</v>
      </c>
      <c r="D110" s="21">
        <v>45566</v>
      </c>
      <c r="E110" s="22" t="s">
        <v>56</v>
      </c>
      <c r="F110" s="16" t="s">
        <v>489</v>
      </c>
    </row>
    <row r="111" spans="1:6" ht="16.5" hidden="1">
      <c r="A111" s="8">
        <v>906648240</v>
      </c>
      <c r="B111" s="16" t="str">
        <f>IF(A111&lt;&gt;"", VLOOKUP(A111,'Danh Sách Tổng KH'!$A$1:$B$547,2,0),"")</f>
        <v>Huỳnh Thanh Sơn</v>
      </c>
      <c r="C111" s="19">
        <v>130000</v>
      </c>
      <c r="D111" s="21">
        <v>45566</v>
      </c>
      <c r="E111" s="22" t="s">
        <v>56</v>
      </c>
      <c r="F111" s="16" t="s">
        <v>489</v>
      </c>
    </row>
    <row r="112" spans="1:6" ht="16.5" hidden="1">
      <c r="A112" s="8">
        <v>766838368</v>
      </c>
      <c r="B112" s="16" t="str">
        <f>IF(A112&lt;&gt;"", VLOOKUP(A112,'Danh Sách Tổng KH'!$A$1:$B$547,2,0),"")</f>
        <v>Nguyễn Trọng Nhân</v>
      </c>
      <c r="C112" s="19">
        <v>150000</v>
      </c>
      <c r="D112" s="21">
        <v>45623</v>
      </c>
      <c r="E112" s="22" t="s">
        <v>56</v>
      </c>
      <c r="F112" s="16" t="s">
        <v>490</v>
      </c>
    </row>
    <row r="113" spans="1:6" ht="16.5" hidden="1">
      <c r="A113" s="8">
        <v>788975319</v>
      </c>
      <c r="B113" s="16" t="str">
        <f>IF(A113&lt;&gt;"", VLOOKUP(A113,'Danh Sách Tổng KH'!$A$1:$B$547,2,0),"")</f>
        <v>Trần Minh Vũ nhà xe Huệ</v>
      </c>
      <c r="C113" s="19">
        <v>110000</v>
      </c>
      <c r="D113" s="21">
        <v>45623</v>
      </c>
      <c r="E113" s="22" t="s">
        <v>94</v>
      </c>
      <c r="F113" s="16" t="s">
        <v>490</v>
      </c>
    </row>
    <row r="114" spans="1:6" ht="16.5" hidden="1">
      <c r="A114" s="8">
        <v>939517521</v>
      </c>
      <c r="B114" s="16" t="str">
        <f>IF(A114&lt;&gt;"", VLOOKUP(A114,'Danh Sách Tổng KH'!$A$1:$B$547,2,0),"")</f>
        <v>Nguyễn Thị Bé Chiều</v>
      </c>
      <c r="C114" s="19">
        <v>370000</v>
      </c>
      <c r="D114" s="21">
        <v>45623</v>
      </c>
      <c r="E114" s="22" t="s">
        <v>56</v>
      </c>
      <c r="F114" s="16" t="s">
        <v>490</v>
      </c>
    </row>
    <row r="115" spans="1:6" ht="16.5" hidden="1">
      <c r="A115" s="8">
        <v>939608282</v>
      </c>
      <c r="B115" s="16" t="str">
        <f>IF(A115&lt;&gt;"", VLOOKUP(A115,'Danh Sách Tổng KH'!$A$1:$B$547,2,0),"")</f>
        <v>Lê Văn Thọ</v>
      </c>
      <c r="C115" s="19">
        <v>200000</v>
      </c>
      <c r="D115" s="21">
        <v>45630</v>
      </c>
      <c r="E115" s="22" t="s">
        <v>56</v>
      </c>
      <c r="F115" s="16" t="s">
        <v>491</v>
      </c>
    </row>
    <row r="116" spans="1:6" ht="16.5" hidden="1">
      <c r="A116" s="8">
        <v>939618282</v>
      </c>
      <c r="B116" s="16" t="str">
        <f>IF(A116&lt;&gt;"", VLOOKUP(A116,'Danh Sách Tổng KH'!$A$1:$B$547,2,0),"")</f>
        <v>Lê Văn Thọ</v>
      </c>
      <c r="C116" s="19">
        <v>200000</v>
      </c>
      <c r="D116" s="21">
        <v>45630</v>
      </c>
      <c r="E116" s="22" t="s">
        <v>56</v>
      </c>
      <c r="F116" s="16" t="s">
        <v>491</v>
      </c>
    </row>
    <row r="117" spans="1:6" ht="16.5" hidden="1">
      <c r="A117" s="8">
        <v>787976362</v>
      </c>
      <c r="B117" s="16" t="str">
        <f>IF(A117&lt;&gt;"", VLOOKUP(A117,'Danh Sách Tổng KH'!$A$1:$B$547,2,0),"")</f>
        <v>Nguyễn Tuấn Tài</v>
      </c>
      <c r="C117" s="19">
        <v>150000</v>
      </c>
      <c r="D117" s="21">
        <v>45630</v>
      </c>
      <c r="E117" s="22" t="s">
        <v>56</v>
      </c>
      <c r="F117" s="16" t="s">
        <v>491</v>
      </c>
    </row>
    <row r="118" spans="1:6" ht="16.5" hidden="1">
      <c r="A118" s="8">
        <v>787885151</v>
      </c>
      <c r="B118" s="16" t="str">
        <f>IF(A118&lt;&gt;"", VLOOKUP(A118,'Danh Sách Tổng KH'!$A$1:$B$547,2,0),"")</f>
        <v>Phan Phạm Ngọc Trân</v>
      </c>
      <c r="C118" s="19">
        <v>500000</v>
      </c>
      <c r="D118" s="21">
        <v>45645</v>
      </c>
      <c r="E118" s="22" t="s">
        <v>56</v>
      </c>
      <c r="F118" s="16" t="s">
        <v>492</v>
      </c>
    </row>
    <row r="119" spans="1:6" ht="16.5" hidden="1">
      <c r="A119" s="8">
        <v>901075969</v>
      </c>
      <c r="B119" s="16" t="str">
        <f>IF(A119&lt;&gt;"", VLOOKUP(A119,'Danh Sách Tổng KH'!$A$1:$B$547,2,0),"")</f>
        <v>Lẹ Đào</v>
      </c>
      <c r="C119" s="19">
        <v>230000</v>
      </c>
      <c r="D119" s="21">
        <v>45647</v>
      </c>
      <c r="E119" s="22" t="s">
        <v>56</v>
      </c>
      <c r="F119" s="16" t="s">
        <v>493</v>
      </c>
    </row>
    <row r="120" spans="1:6" ht="16.5" hidden="1">
      <c r="A120" s="8">
        <v>939078082</v>
      </c>
      <c r="B120" s="16" t="str">
        <f>IF(A120&lt;&gt;"", VLOOKUP(A120,'Danh Sách Tổng KH'!$A$1:$B$547,2,0),"")</f>
        <v>Huỳnh Thanh Vũ</v>
      </c>
      <c r="C120" s="19">
        <v>180000</v>
      </c>
      <c r="D120" s="21">
        <v>45653</v>
      </c>
      <c r="E120" s="22" t="s">
        <v>56</v>
      </c>
      <c r="F120" s="16" t="s">
        <v>494</v>
      </c>
    </row>
    <row r="121" spans="1:6" ht="16.5" hidden="1">
      <c r="A121" s="8">
        <v>795468417</v>
      </c>
      <c r="B121" s="16" t="str">
        <f>IF(A121&lt;&gt;"", VLOOKUP(A121,'Danh Sách Tổng KH'!$A$1:$B$547,2,0),"")</f>
        <v>Lê Trung Tín</v>
      </c>
      <c r="C121" s="19">
        <v>100000</v>
      </c>
      <c r="D121" s="21"/>
      <c r="E121" s="22"/>
      <c r="F121" s="16"/>
    </row>
    <row r="122" spans="1:6" ht="16.5" hidden="1">
      <c r="A122" s="8">
        <v>901223168</v>
      </c>
      <c r="B122" s="16" t="str">
        <f>IF(A122&lt;&gt;"", VLOOKUP(A122,'Danh Sách Tổng KH'!$A$1:$B$547,2,0),"")</f>
        <v>Nguyễn Thị Thanh Thúy</v>
      </c>
      <c r="C122" s="19">
        <v>200000</v>
      </c>
      <c r="D122" s="21">
        <v>45665</v>
      </c>
      <c r="E122" s="22" t="s">
        <v>56</v>
      </c>
      <c r="F122" s="16" t="s">
        <v>495</v>
      </c>
    </row>
    <row r="123" spans="1:6" ht="16.5" hidden="1">
      <c r="A123" s="8">
        <v>787885151</v>
      </c>
      <c r="B123" s="16" t="str">
        <f>IF(A123&lt;&gt;"", VLOOKUP(A123,'Danh Sách Tổng KH'!$A$1:$B$547,2,0),"")</f>
        <v>Phan Phạm Ngọc Trân</v>
      </c>
      <c r="C123" s="19">
        <v>400000</v>
      </c>
      <c r="D123" s="21">
        <v>45670</v>
      </c>
      <c r="E123" s="22" t="s">
        <v>56</v>
      </c>
      <c r="F123" s="16" t="s">
        <v>496</v>
      </c>
    </row>
    <row r="124" spans="1:6" ht="16.5" hidden="1">
      <c r="A124" s="8">
        <v>939197722</v>
      </c>
      <c r="B124" s="16" t="str">
        <f>IF(A124&lt;&gt;"", VLOOKUP(A124,'Danh Sách Tổng KH'!$A$1:$B$547,2,0),"")</f>
        <v>Lê Hoàng Việt</v>
      </c>
      <c r="C124" s="19">
        <v>200000</v>
      </c>
      <c r="D124" s="21">
        <v>45678</v>
      </c>
      <c r="E124" s="22" t="s">
        <v>56</v>
      </c>
      <c r="F124" s="16" t="s">
        <v>83</v>
      </c>
    </row>
    <row r="125" spans="1:6" ht="16.5" hidden="1">
      <c r="A125" s="8">
        <v>932993088</v>
      </c>
      <c r="B125" s="16" t="str">
        <f>IF(A125&lt;&gt;"", VLOOKUP(A125,'Danh Sách Tổng KH'!$A$1:$B$547,2,0),"")</f>
        <v>Quan Thị Lan Hương</v>
      </c>
      <c r="C125" s="19">
        <v>160000</v>
      </c>
      <c r="D125" s="21">
        <v>45685</v>
      </c>
      <c r="E125" s="22" t="s">
        <v>56</v>
      </c>
      <c r="F125" s="16" t="s">
        <v>83</v>
      </c>
    </row>
    <row r="126" spans="1:6" ht="16.5" hidden="1">
      <c r="A126" s="8">
        <v>767575599</v>
      </c>
      <c r="B126" s="16" t="str">
        <f>IF(A126&lt;&gt;"", VLOOKUP(A126,'Danh Sách Tổng KH'!$A$1:$B$547,2,0),"")</f>
        <v>Nguyễn Hữu Lộc</v>
      </c>
      <c r="C126" s="19">
        <v>30000</v>
      </c>
      <c r="D126" s="21">
        <v>45685</v>
      </c>
      <c r="E126" s="22" t="s">
        <v>56</v>
      </c>
      <c r="F126" s="16" t="s">
        <v>83</v>
      </c>
    </row>
    <row r="127" spans="1:6" ht="16.5" hidden="1">
      <c r="A127" s="8">
        <v>787976362</v>
      </c>
      <c r="B127" s="16" t="str">
        <f>IF(A127&lt;&gt;"", VLOOKUP(A127,'Danh Sách Tổng KH'!$A$1:$B$547,2,0),"")</f>
        <v>Nguyễn Tuấn Tài</v>
      </c>
      <c r="C127" s="19">
        <v>150000</v>
      </c>
      <c r="D127" s="21">
        <v>45692</v>
      </c>
      <c r="E127" s="22" t="s">
        <v>56</v>
      </c>
      <c r="F127" s="16" t="s">
        <v>83</v>
      </c>
    </row>
    <row r="128" spans="1:6" ht="16.5" hidden="1">
      <c r="A128" s="8"/>
      <c r="B128" s="16" t="str">
        <f>IF(A128&lt;&gt;"", VLOOKUP(A128,'Danh Sách Tổng KH'!$A$1:$B$547,2,0),"")</f>
        <v/>
      </c>
      <c r="C128" s="19"/>
      <c r="D128" s="21"/>
      <c r="E128" s="22"/>
      <c r="F128" s="16"/>
    </row>
    <row r="129" spans="1:6" ht="16.5" hidden="1">
      <c r="A129" s="8">
        <v>939791721</v>
      </c>
      <c r="B129" s="16" t="str">
        <f>IF(A129&lt;&gt;"", VLOOKUP(A129,'Danh Sách Tổng KH'!$A$1:$B$547,2,0),"")</f>
        <v>Hoàng Lê Trang Đài</v>
      </c>
      <c r="C129" s="19">
        <v>150000</v>
      </c>
      <c r="D129" s="21">
        <v>45697</v>
      </c>
      <c r="E129" s="22" t="s">
        <v>94</v>
      </c>
      <c r="F129" s="16" t="s">
        <v>497</v>
      </c>
    </row>
    <row r="130" spans="1:6" ht="16.5" hidden="1">
      <c r="A130" s="8">
        <v>906665971</v>
      </c>
      <c r="B130" s="16" t="str">
        <f>IF(A130&lt;&gt;"", VLOOKUP(A130,'Danh Sách Tổng KH'!$A$1:$B$547,2,0),"")</f>
        <v>Trần Thị Thùy Trang</v>
      </c>
      <c r="C130" s="19">
        <v>890000</v>
      </c>
      <c r="D130" s="21">
        <v>45729</v>
      </c>
      <c r="E130" s="22" t="s">
        <v>94</v>
      </c>
      <c r="F130" s="16" t="s">
        <v>498</v>
      </c>
    </row>
    <row r="131" spans="1:6" ht="16.5" hidden="1">
      <c r="A131" s="8">
        <v>905252689</v>
      </c>
      <c r="B131" s="16" t="str">
        <f>IF(A131&lt;&gt;"", VLOOKUP(A131,'Danh Sách Tổng KH'!$A$1:$B$547,2,0),"")</f>
        <v>Nguyễn Hữu Vũ</v>
      </c>
      <c r="C131" s="19">
        <v>210000</v>
      </c>
      <c r="D131" s="21">
        <v>45734</v>
      </c>
      <c r="E131" s="22" t="s">
        <v>94</v>
      </c>
      <c r="F131" s="123" t="s">
        <v>499</v>
      </c>
    </row>
    <row r="132" spans="1:6" ht="16.5" hidden="1">
      <c r="A132" s="8">
        <v>936343799</v>
      </c>
      <c r="B132" s="16" t="str">
        <f>IF(A132&lt;&gt;"", VLOOKUP(A132,'Danh Sách Tổng KH'!$A$1:$B$547,2,0),"")</f>
        <v>Trần Văn Leo</v>
      </c>
      <c r="C132" s="19">
        <v>200000</v>
      </c>
      <c r="D132" s="21">
        <v>45734</v>
      </c>
      <c r="E132" s="22" t="s">
        <v>94</v>
      </c>
      <c r="F132" s="123" t="s">
        <v>499</v>
      </c>
    </row>
    <row r="133" spans="1:6" ht="16.5" hidden="1">
      <c r="A133" s="8">
        <v>931010215</v>
      </c>
      <c r="B133" s="16" t="str">
        <f>IF(A133&lt;&gt;"", VLOOKUP(A133,'Danh Sách Tổng KH'!$A$1:$B$547,2,0),"")</f>
        <v>Nguyễn Thành Công</v>
      </c>
      <c r="C133" s="19">
        <v>330000</v>
      </c>
      <c r="D133" s="21">
        <v>45742</v>
      </c>
      <c r="E133" s="22" t="s">
        <v>56</v>
      </c>
      <c r="F133" s="16" t="s">
        <v>492</v>
      </c>
    </row>
    <row r="134" spans="1:6" ht="16.5" hidden="1">
      <c r="A134" s="8">
        <v>939590959</v>
      </c>
      <c r="B134" s="16" t="str">
        <f>IF(A134&lt;&gt;"", VLOOKUP(A134,'Danh Sách Tổng KH'!$A$1:$B$547,2,0),"")</f>
        <v>Khưu Thanh Hưng</v>
      </c>
      <c r="C134" s="19">
        <v>80000</v>
      </c>
      <c r="D134" s="21">
        <v>45742</v>
      </c>
      <c r="E134" s="22" t="s">
        <v>56</v>
      </c>
      <c r="F134" s="16" t="s">
        <v>492</v>
      </c>
    </row>
    <row r="135" spans="1:6" ht="16.5" hidden="1">
      <c r="A135" s="8">
        <v>939772712</v>
      </c>
      <c r="B135" s="16" t="str">
        <f>IF(A135&lt;&gt;"", VLOOKUP(A135,'Danh Sách Tổng KH'!$A$1:$B$547,2,0),"")</f>
        <v>Tô Hải Vân</v>
      </c>
      <c r="C135" s="19">
        <v>300000</v>
      </c>
      <c r="D135" s="21">
        <v>45763</v>
      </c>
      <c r="E135" s="22" t="s">
        <v>94</v>
      </c>
      <c r="F135" s="16" t="s">
        <v>500</v>
      </c>
    </row>
    <row r="136" spans="1:6" ht="16.5" hidden="1">
      <c r="A136" s="8">
        <v>906648240</v>
      </c>
      <c r="B136" s="16" t="str">
        <f>IF(A136&lt;&gt;"", VLOOKUP(A136,'Danh Sách Tổng KH'!$A$1:$B$547,2,0),"")</f>
        <v>Huỳnh Thanh Sơn</v>
      </c>
      <c r="C136" s="19">
        <v>120000</v>
      </c>
      <c r="D136" s="21">
        <v>45773</v>
      </c>
      <c r="E136" s="22" t="s">
        <v>56</v>
      </c>
      <c r="F136" s="16" t="s">
        <v>501</v>
      </c>
    </row>
    <row r="137" spans="1:6" ht="16.5" hidden="1">
      <c r="A137" s="8">
        <v>939969498</v>
      </c>
      <c r="B137" s="16" t="str">
        <f>IF(A137&lt;&gt;"", VLOOKUP(A137,'Danh Sách Tổng KH'!$A$1:$B$547,2,0),"")</f>
        <v>HỘ KINH DOANH RIO</v>
      </c>
      <c r="C137" s="19">
        <v>270000</v>
      </c>
      <c r="D137" s="21">
        <v>45775</v>
      </c>
      <c r="E137" s="22" t="s">
        <v>94</v>
      </c>
      <c r="F137" s="16" t="s">
        <v>502</v>
      </c>
    </row>
    <row r="138" spans="1:6" ht="16.5" hidden="1">
      <c r="A138" s="8">
        <v>907404881</v>
      </c>
      <c r="B138" s="16" t="str">
        <f>IF(A138&lt;&gt;"", VLOOKUP(A138,'Danh Sách Tổng KH'!$A$1:$B$547,2,0),"")</f>
        <v>Nguyễn Thanh Tuyền</v>
      </c>
      <c r="C138" s="19">
        <v>170000</v>
      </c>
      <c r="D138" s="21">
        <v>45786</v>
      </c>
      <c r="E138" s="22" t="s">
        <v>56</v>
      </c>
      <c r="F138" s="16" t="s">
        <v>496</v>
      </c>
    </row>
    <row r="139" spans="1:6" ht="16.5" hidden="1">
      <c r="A139" s="8">
        <v>932803632</v>
      </c>
      <c r="B139" s="16" t="str">
        <f>IF(A139&lt;&gt;"", VLOOKUP(A139,'Danh Sách Tổng KH'!$A$1:$B$547,2,0),"")</f>
        <v>Nguyễn Thị Nguyệt</v>
      </c>
      <c r="C139" s="19">
        <v>150000</v>
      </c>
      <c r="D139" s="21">
        <v>45798</v>
      </c>
      <c r="E139" s="22" t="s">
        <v>56</v>
      </c>
      <c r="F139" s="16" t="s">
        <v>500</v>
      </c>
    </row>
    <row r="140" spans="1:6" ht="16.5" hidden="1">
      <c r="A140" s="8">
        <v>901791328</v>
      </c>
      <c r="B140" s="16" t="str">
        <f>IF(A140&lt;&gt;"", VLOOKUP(A140,'Danh Sách Tổng KH'!$A$1:$B$547,2,0),"")</f>
        <v>NGUYỄN MINH TÂM</v>
      </c>
      <c r="C140" s="19">
        <v>150000</v>
      </c>
      <c r="D140" s="21">
        <v>45804</v>
      </c>
      <c r="E140" s="22" t="s">
        <v>56</v>
      </c>
      <c r="F140" s="16" t="s">
        <v>500</v>
      </c>
    </row>
    <row r="141" spans="1:6" ht="16.5" hidden="1">
      <c r="A141" s="8">
        <v>907404881</v>
      </c>
      <c r="B141" s="16" t="str">
        <f>IF(A141&lt;&gt;"", VLOOKUP(A141,'Danh Sách Tổng KH'!$A$1:$B$547,2,0),"")</f>
        <v>Nguyễn Thanh Tuyền</v>
      </c>
      <c r="C141" s="19">
        <v>150000</v>
      </c>
      <c r="D141" s="21">
        <v>45807</v>
      </c>
      <c r="E141" s="22" t="s">
        <v>56</v>
      </c>
      <c r="F141" s="16" t="s">
        <v>503</v>
      </c>
    </row>
    <row r="142" spans="1:6" ht="16.5" hidden="1">
      <c r="A142" s="8">
        <v>931889867</v>
      </c>
      <c r="B142" s="16" t="str">
        <f>IF(A142&lt;&gt;"", VLOOKUP(A142,'Danh Sách Tổng KH'!$A$1:$B$547,2,0),"")</f>
        <v>Nguyễn Thanh Tú</v>
      </c>
      <c r="C142" s="19">
        <v>150000</v>
      </c>
      <c r="D142" s="21">
        <v>45818</v>
      </c>
      <c r="E142" s="22" t="s">
        <v>56</v>
      </c>
      <c r="F142" s="16" t="s">
        <v>504</v>
      </c>
    </row>
    <row r="143" spans="1:6" ht="16.5" hidden="1">
      <c r="A143" s="8">
        <v>939202935</v>
      </c>
      <c r="B143" s="16" t="str">
        <f>IF(A143&lt;&gt;"", VLOOKUP(A143,'Danh Sách Tổng KH'!$A$1:$B$547,2,0),"")</f>
        <v>Nguyễn Thị Ngọc Lyl</v>
      </c>
      <c r="C143" s="19">
        <v>680000</v>
      </c>
      <c r="D143" s="21">
        <v>45848</v>
      </c>
      <c r="E143" s="22" t="s">
        <v>56</v>
      </c>
      <c r="F143" s="16" t="s">
        <v>505</v>
      </c>
    </row>
    <row r="144" spans="1:6" ht="16.5" hidden="1">
      <c r="A144" s="8">
        <v>799651659</v>
      </c>
      <c r="B144" s="16" t="str">
        <f>IF(A144&lt;&gt;"", VLOOKUP(A144,'Danh Sách Tổng KH'!$A$1:$B$547,2,0),"")</f>
        <v>Nguyễn Phú Quốc</v>
      </c>
      <c r="C144" s="19">
        <v>250000</v>
      </c>
      <c r="D144" s="21">
        <v>45861</v>
      </c>
      <c r="E144" s="22" t="s">
        <v>56</v>
      </c>
      <c r="F144" s="16" t="s">
        <v>492</v>
      </c>
    </row>
    <row r="145" spans="1:6" ht="16.5" hidden="1">
      <c r="A145" s="8">
        <v>907404881</v>
      </c>
      <c r="B145" s="16" t="str">
        <f>IF(A145&lt;&gt;"", VLOOKUP(A145,'Danh Sách Tổng KH'!$A$1:$B$547,2,0),"")</f>
        <v>Nguyễn Thanh Tuyền</v>
      </c>
      <c r="C145" s="19">
        <v>170000</v>
      </c>
      <c r="D145" s="21">
        <v>45873</v>
      </c>
      <c r="E145" s="22" t="s">
        <v>56</v>
      </c>
      <c r="F145" s="16" t="s">
        <v>506</v>
      </c>
    </row>
    <row r="146" spans="1:6" ht="16.5" hidden="1">
      <c r="A146" s="8">
        <v>907404881</v>
      </c>
      <c r="B146" s="16" t="str">
        <f>IF(A146&lt;&gt;"", VLOOKUP(A146,'Danh Sách Tổng KH'!$A$1:$B$547,2,0),"")</f>
        <v>Nguyễn Thanh Tuyền</v>
      </c>
      <c r="C146" s="19">
        <v>170000</v>
      </c>
      <c r="D146" s="21">
        <v>45903</v>
      </c>
      <c r="E146" s="22" t="s">
        <v>56</v>
      </c>
      <c r="F146" s="16" t="s">
        <v>506</v>
      </c>
    </row>
    <row r="147" spans="1:6" ht="16.5" hidden="1">
      <c r="A147" s="8">
        <v>939202935</v>
      </c>
      <c r="B147" s="16" t="str">
        <f>IF(A147&lt;&gt;"", VLOOKUP(A147,'Danh Sách Tổng KH'!$A$1:$B$547,2,0),"")</f>
        <v>Nguyễn Thị Ngọc Lyl</v>
      </c>
      <c r="C147" s="19">
        <v>220000</v>
      </c>
      <c r="D147" s="21">
        <v>45903</v>
      </c>
      <c r="E147" s="22" t="s">
        <v>56</v>
      </c>
      <c r="F147" s="16" t="s">
        <v>506</v>
      </c>
    </row>
    <row r="148" spans="1:6" ht="16.5" hidden="1">
      <c r="A148" s="8">
        <v>931066039</v>
      </c>
      <c r="B148" s="16" t="str">
        <f>IF(A148&lt;&gt;"", VLOOKUP(A148,'Danh Sách Tổng KH'!$A$1:$B$547,2,0),"")</f>
        <v>Nguyễn Văn Trường</v>
      </c>
      <c r="C148" s="19">
        <v>150000</v>
      </c>
      <c r="D148" s="21">
        <v>45903</v>
      </c>
      <c r="E148" s="22" t="s">
        <v>56</v>
      </c>
      <c r="F148" s="16" t="s">
        <v>506</v>
      </c>
    </row>
    <row r="149" spans="1:6" ht="16.5" hidden="1">
      <c r="A149" s="8">
        <v>931110377</v>
      </c>
      <c r="B149" s="16" t="str">
        <f>IF(A149&lt;&gt;"", VLOOKUP(A149,'Danh Sách Tổng KH'!$A$1:$B$547,2,0),"")</f>
        <v>Lê Thị Kim Thoa</v>
      </c>
      <c r="C149" s="19">
        <v>100000</v>
      </c>
      <c r="D149" s="21">
        <v>45903</v>
      </c>
      <c r="E149" s="22" t="s">
        <v>56</v>
      </c>
      <c r="F149" s="16" t="s">
        <v>506</v>
      </c>
    </row>
    <row r="150" spans="1:6" ht="16.5" hidden="1">
      <c r="A150" s="8">
        <v>907921720</v>
      </c>
      <c r="B150" s="16" t="str">
        <f>IF(A150&lt;&gt;"", VLOOKUP(A150,'Danh Sách Tổng KH'!$A$1:$B$547,2,0),"")</f>
        <v>Đào Thị Yến Nhi</v>
      </c>
      <c r="C150" s="19">
        <v>250000</v>
      </c>
      <c r="D150" s="21">
        <v>45903</v>
      </c>
      <c r="E150" s="22" t="s">
        <v>56</v>
      </c>
      <c r="F150" s="16" t="s">
        <v>506</v>
      </c>
    </row>
    <row r="151" spans="1:6" ht="16.5" hidden="1">
      <c r="A151" s="8">
        <v>772115354</v>
      </c>
      <c r="B151" s="16" t="str">
        <f>IF(A151&lt;&gt;"", VLOOKUP(A151,'Danh Sách Tổng KH'!$A$1:$B$547,2,0),"")</f>
        <v>Trương Thị Thu Tư</v>
      </c>
      <c r="C151" s="19">
        <v>120000</v>
      </c>
      <c r="D151" s="21">
        <v>45903</v>
      </c>
      <c r="E151" s="22" t="s">
        <v>56</v>
      </c>
      <c r="F151" s="16" t="s">
        <v>506</v>
      </c>
    </row>
    <row r="152" spans="1:6" ht="16.5" hidden="1">
      <c r="A152" s="8">
        <v>939060859</v>
      </c>
      <c r="B152" s="16" t="str">
        <f>IF(A152&lt;&gt;"", VLOOKUP(A152,'Danh Sách Tổng KH'!$A$1:$B$547,2,0),"")</f>
        <v>Liem UBP3</v>
      </c>
      <c r="C152" s="19">
        <v>70000</v>
      </c>
      <c r="D152" s="21">
        <v>45903</v>
      </c>
      <c r="E152" s="22" t="s">
        <v>56</v>
      </c>
      <c r="F152" s="16" t="s">
        <v>506</v>
      </c>
    </row>
    <row r="153" spans="1:6" ht="16.5" hidden="1">
      <c r="A153" s="8">
        <v>939770447</v>
      </c>
      <c r="B153" s="16" t="str">
        <f>IF(A153&lt;&gt;"", VLOOKUP(A153,'Danh Sách Tổng KH'!$A$1:$B$547,2,0),"")</f>
        <v>Đặng Thị Ánh Tuyết</v>
      </c>
      <c r="C153" s="19">
        <v>10000</v>
      </c>
      <c r="D153" s="21">
        <v>45908</v>
      </c>
      <c r="E153" s="22" t="s">
        <v>56</v>
      </c>
      <c r="F153" s="16" t="s">
        <v>506</v>
      </c>
    </row>
    <row r="154" spans="1:6" ht="16.5" hidden="1">
      <c r="A154" s="8">
        <v>939772712</v>
      </c>
      <c r="B154" s="16" t="str">
        <f>IF(A154&lt;&gt;"", VLOOKUP(A154,'Danh Sách Tổng KH'!$A$1:$B$547,2,0),"")</f>
        <v>Tô Hải Vân</v>
      </c>
      <c r="C154" s="19">
        <v>470000</v>
      </c>
      <c r="D154" s="21">
        <v>45917</v>
      </c>
      <c r="E154" s="22" t="s">
        <v>94</v>
      </c>
      <c r="F154" s="16" t="s">
        <v>492</v>
      </c>
    </row>
    <row r="155" spans="1:6" ht="16.5" hidden="1">
      <c r="A155" s="8">
        <v>939412529</v>
      </c>
      <c r="B155" s="16" t="str">
        <f>IF(A155&lt;&gt;"", VLOOKUP(A155,'Danh Sách Tổng KH'!$A$1:$B$547,2,0),"")</f>
        <v>Lê Hoàng Phong</v>
      </c>
      <c r="C155" s="19">
        <v>1780000</v>
      </c>
      <c r="D155" s="21">
        <v>45922</v>
      </c>
      <c r="E155" s="22" t="s">
        <v>94</v>
      </c>
      <c r="F155" s="16" t="s">
        <v>492</v>
      </c>
    </row>
    <row r="156" spans="1:6" ht="16.5" hidden="1">
      <c r="A156" s="8">
        <v>907774799</v>
      </c>
      <c r="B156" s="16" t="str">
        <f>IF(A156&lt;&gt;"", VLOOKUP(A156,'Danh Sách Tổng KH'!$A$1:$B$547,2,0),"")</f>
        <v>Trần Quốc Cường</v>
      </c>
      <c r="C156" s="19">
        <v>10000</v>
      </c>
      <c r="D156" s="21">
        <v>45899</v>
      </c>
      <c r="E156" s="22" t="s">
        <v>56</v>
      </c>
      <c r="F156" s="16" t="s">
        <v>506</v>
      </c>
    </row>
    <row r="157" spans="1:6" ht="16.5" hidden="1">
      <c r="A157" s="8">
        <v>939172139</v>
      </c>
      <c r="B157" s="16" t="str">
        <f>IF(A157&lt;&gt;"", VLOOKUP(A157,'Danh Sách Tổng KH'!$A$1:$B$547,2,0),"")</f>
        <v>Nguyễn Lý Ngân Kim</v>
      </c>
      <c r="C157" s="19">
        <v>150000</v>
      </c>
      <c r="D157" s="21">
        <v>45926</v>
      </c>
      <c r="E157" s="22" t="s">
        <v>56</v>
      </c>
      <c r="F157" s="16" t="s">
        <v>492</v>
      </c>
    </row>
    <row r="158" spans="1:6" ht="16.5" hidden="1">
      <c r="A158" s="8">
        <v>932923479</v>
      </c>
      <c r="B158" s="16" t="str">
        <f>IF(A158&lt;&gt;"", VLOOKUP(A158,'Danh Sách Tổng KH'!$A$1:$B$547,2,0),"")</f>
        <v>Huỳnh Công Trạng ck pháp y</v>
      </c>
      <c r="C158" s="19">
        <v>160000</v>
      </c>
      <c r="D158" s="21">
        <v>45926</v>
      </c>
      <c r="E158" s="22" t="s">
        <v>94</v>
      </c>
      <c r="F158" s="16" t="s">
        <v>502</v>
      </c>
    </row>
    <row r="159" spans="1:6" ht="16.5" hidden="1">
      <c r="A159" s="8">
        <v>977283949</v>
      </c>
      <c r="B159" s="16" t="str">
        <f>IF(A159&lt;&gt;"", VLOOKUP(A159,'Danh Sách Tổng KH'!$A$1:$B$547,2,0),"")</f>
        <v>Trần Thị Mộng Cầm</v>
      </c>
      <c r="C159" s="19">
        <v>110000</v>
      </c>
      <c r="D159" s="21">
        <v>45926</v>
      </c>
      <c r="E159" s="22" t="s">
        <v>94</v>
      </c>
      <c r="F159" s="16" t="s">
        <v>502</v>
      </c>
    </row>
    <row r="160" spans="1:6" ht="16.5" hidden="1">
      <c r="A160" s="8">
        <v>907921720</v>
      </c>
      <c r="B160" s="16" t="str">
        <f>IF(A160&lt;&gt;"", VLOOKUP(A160,'Danh Sách Tổng KH'!$A$1:$B$547,2,0),"")</f>
        <v>Đào Thị Yến Nhi</v>
      </c>
      <c r="C160" s="19">
        <v>370000</v>
      </c>
      <c r="D160" s="21">
        <v>45921</v>
      </c>
      <c r="E160" s="22" t="s">
        <v>56</v>
      </c>
      <c r="F160" s="16" t="s">
        <v>492</v>
      </c>
    </row>
    <row r="161" spans="1:6" ht="16.5" hidden="1">
      <c r="A161" s="8">
        <v>907602719</v>
      </c>
      <c r="B161" s="16" t="str">
        <f>IF(A161&lt;&gt;"", VLOOKUP(A161,'Danh Sách Tổng KH'!$A$1:$B$547,2,0),"")</f>
        <v>Nguyễn Thị Thùy Loan</v>
      </c>
      <c r="C161" s="19">
        <v>400000</v>
      </c>
      <c r="D161" s="21">
        <v>45954</v>
      </c>
      <c r="E161" s="22" t="s">
        <v>94</v>
      </c>
      <c r="F161" s="16" t="s">
        <v>492</v>
      </c>
    </row>
    <row r="162" spans="1:6" ht="16.5" hidden="1">
      <c r="A162" s="8">
        <v>939197722</v>
      </c>
      <c r="B162" s="16" t="str">
        <f>IF(A162&lt;&gt;"", VLOOKUP(A162,'Danh Sách Tổng KH'!$A$1:$B$547,2,0),"")</f>
        <v>Lê Hoàng Việt</v>
      </c>
      <c r="C162" s="19">
        <v>200000</v>
      </c>
      <c r="D162" s="21">
        <v>45956</v>
      </c>
      <c r="E162" s="22" t="s">
        <v>56</v>
      </c>
      <c r="F162" s="16" t="s">
        <v>492</v>
      </c>
    </row>
    <row r="163" spans="1:6" ht="16.5" hidden="1">
      <c r="A163" s="8">
        <v>939231083</v>
      </c>
      <c r="B163" s="16" t="str">
        <f>IF(A163&lt;&gt;"", VLOOKUP(A163,'Danh Sách Tổng KH'!$A$1:$B$547,2,0),"")</f>
        <v>Quan Phước Thành</v>
      </c>
      <c r="C163" s="19">
        <v>160000</v>
      </c>
      <c r="D163" s="21">
        <v>45957</v>
      </c>
      <c r="E163" s="22" t="s">
        <v>94</v>
      </c>
      <c r="F163" s="16" t="s">
        <v>492</v>
      </c>
    </row>
    <row r="164" spans="1:6" ht="16.5" hidden="1">
      <c r="A164" s="8">
        <v>907916791</v>
      </c>
      <c r="B164" s="16" t="str">
        <f>IF(A164&lt;&gt;"", VLOOKUP(A164,'Danh Sách Tổng KH'!$A$1:$B$547,2,0),"")</f>
        <v>Nguyễn Hoài Linh</v>
      </c>
      <c r="C164" s="19">
        <v>150000</v>
      </c>
      <c r="D164" s="21">
        <v>45957</v>
      </c>
      <c r="E164" s="22" t="s">
        <v>94</v>
      </c>
      <c r="F164" s="16" t="s">
        <v>492</v>
      </c>
    </row>
    <row r="165" spans="1:6" ht="16.5" hidden="1">
      <c r="A165" s="8">
        <v>939772712</v>
      </c>
      <c r="B165" s="16" t="str">
        <f>IF(A165&lt;&gt;"", VLOOKUP(A165,'Danh Sách Tổng KH'!$A$1:$B$547,2,0),"")</f>
        <v>Tô Hải Vân</v>
      </c>
      <c r="C165" s="19">
        <v>480000</v>
      </c>
      <c r="D165" s="21">
        <v>45959</v>
      </c>
      <c r="E165" s="22" t="s">
        <v>94</v>
      </c>
      <c r="F165" s="16" t="s">
        <v>492</v>
      </c>
    </row>
    <row r="166" spans="1:6" ht="16.5" hidden="1">
      <c r="A166" s="8">
        <v>939336670</v>
      </c>
      <c r="B166" s="16" t="str">
        <f>IF(A166&lt;&gt;"", VLOOKUP(A166,'Danh Sách Tổng KH'!$A$1:$B$547,2,0),"")</f>
        <v>Nguyễn Thanh Thuận</v>
      </c>
      <c r="C166" s="19">
        <v>190000</v>
      </c>
      <c r="D166" s="21">
        <v>45959</v>
      </c>
      <c r="E166" s="22" t="s">
        <v>56</v>
      </c>
      <c r="F166" s="16" t="s">
        <v>492</v>
      </c>
    </row>
    <row r="167" spans="1:6" ht="16.5" hidden="1">
      <c r="A167" s="8">
        <v>932811939</v>
      </c>
      <c r="B167" s="16" t="str">
        <f>IF(A167&lt;&gt;"", VLOOKUP(A167,'Danh Sách Tổng KH'!$A$1:$B$547,2,0),"")</f>
        <v>Trần Kim Ân</v>
      </c>
      <c r="C167" s="19">
        <v>170000</v>
      </c>
      <c r="D167" s="21">
        <v>45960</v>
      </c>
      <c r="E167" s="22" t="s">
        <v>56</v>
      </c>
      <c r="F167" s="16" t="s">
        <v>492</v>
      </c>
    </row>
    <row r="168" spans="1:6" ht="16.5" hidden="1">
      <c r="A168" s="8">
        <v>931003568</v>
      </c>
      <c r="B168" s="16" t="str">
        <f>IF(A168&lt;&gt;"", VLOOKUP(A168,'Danh Sách Tổng KH'!$A$1:$B$547,2,0),"")</f>
        <v>Trần Quốc Tuấn</v>
      </c>
      <c r="C168" s="19">
        <v>160000</v>
      </c>
      <c r="D168" s="21">
        <v>45982</v>
      </c>
      <c r="E168" s="22" t="s">
        <v>56</v>
      </c>
      <c r="F168" s="16" t="s">
        <v>507</v>
      </c>
    </row>
    <row r="169" spans="1:6" ht="16.5" hidden="1">
      <c r="A169" s="8">
        <v>931108299</v>
      </c>
      <c r="B169" s="16" t="str">
        <f>IF(A169&lt;&gt;"", VLOOKUP(A169,'Danh Sách Tổng KH'!$A$1:$B$547,2,0),"")</f>
        <v>Đặng Thanh Thùy</v>
      </c>
      <c r="C169" s="19">
        <v>100000</v>
      </c>
      <c r="D169" s="21">
        <v>45994</v>
      </c>
      <c r="E169" s="22" t="s">
        <v>56</v>
      </c>
      <c r="F169" s="16" t="s">
        <v>492</v>
      </c>
    </row>
    <row r="170" spans="1:6" ht="16.5" hidden="1">
      <c r="A170" s="8">
        <v>906648240</v>
      </c>
      <c r="B170" s="16" t="str">
        <f>IF(A170&lt;&gt;"", VLOOKUP(A170,'Danh Sách Tổng KH'!$A$1:$B$547,2,0),"")</f>
        <v>Huỳnh Thanh Sơn</v>
      </c>
      <c r="C170" s="19">
        <v>110000</v>
      </c>
      <c r="D170" s="21">
        <v>46015</v>
      </c>
      <c r="E170" s="22" t="s">
        <v>56</v>
      </c>
      <c r="F170" s="16" t="s">
        <v>508</v>
      </c>
    </row>
    <row r="171" spans="1:6" ht="16.5" hidden="1">
      <c r="A171" s="8">
        <v>939202935</v>
      </c>
      <c r="B171" s="16" t="str">
        <f>IF(A171&lt;&gt;"", VLOOKUP(A171,'Danh Sách Tổng KH'!$A$1:$B$547,2,0),"")</f>
        <v>Nguyễn Thị Ngọc Lyl</v>
      </c>
      <c r="C171" s="19">
        <v>350000</v>
      </c>
      <c r="D171" s="21">
        <v>46028</v>
      </c>
      <c r="E171" s="22" t="s">
        <v>56</v>
      </c>
      <c r="F171" s="16" t="s">
        <v>492</v>
      </c>
    </row>
    <row r="172" spans="1:6" ht="16.5" hidden="1">
      <c r="A172" s="8">
        <v>907833378</v>
      </c>
      <c r="B172" s="16" t="str">
        <f>IF(A172&lt;&gt;"", VLOOKUP(A172,'Danh Sách Tổng KH'!$A$1:$B$547,2,0),"")</f>
        <v>Nguyễn Thị Thanh Thúy</v>
      </c>
      <c r="C172" s="19">
        <v>160000</v>
      </c>
      <c r="D172" s="21">
        <v>46028</v>
      </c>
      <c r="E172" s="22" t="s">
        <v>56</v>
      </c>
      <c r="F172" s="16" t="s">
        <v>492</v>
      </c>
    </row>
    <row r="173" spans="1:6" ht="16.5" hidden="1">
      <c r="A173" s="8">
        <v>901791328</v>
      </c>
      <c r="B173" s="16" t="str">
        <f>IF(A173&lt;&gt;"", VLOOKUP(A173,'Danh Sách Tổng KH'!$A$1:$B$547,2,0),"")</f>
        <v>NGUYỄN MINH TÂM</v>
      </c>
      <c r="C173" s="19">
        <v>150000</v>
      </c>
      <c r="D173" s="21">
        <v>46044</v>
      </c>
      <c r="E173" s="22" t="s">
        <v>56</v>
      </c>
      <c r="F173" s="16" t="s">
        <v>492</v>
      </c>
    </row>
    <row r="174" spans="1:6" ht="16.5" hidden="1">
      <c r="A174" s="8">
        <v>906648240</v>
      </c>
      <c r="B174" s="16" t="str">
        <f>IF(A174&lt;&gt;"", VLOOKUP(A174,'Danh Sách Tổng KH'!$A$1:$B$547,2,0),"")</f>
        <v>Huỳnh Thanh Sơn</v>
      </c>
      <c r="C174" s="19">
        <v>100000</v>
      </c>
      <c r="D174" s="21">
        <v>46045</v>
      </c>
      <c r="E174" s="22" t="s">
        <v>56</v>
      </c>
      <c r="F174" s="16" t="s">
        <v>509</v>
      </c>
    </row>
    <row r="175" spans="1:6" ht="16.5" hidden="1">
      <c r="A175" s="8">
        <v>931110377</v>
      </c>
      <c r="B175" s="16" t="str">
        <f>IF(A175&lt;&gt;"", VLOOKUP(A175,'Danh Sách Tổng KH'!$A$1:$B$547,2,0),"")</f>
        <v>Lê Thị Kim Thoa</v>
      </c>
      <c r="C175" s="19">
        <v>100000</v>
      </c>
      <c r="D175" s="21">
        <v>46049</v>
      </c>
      <c r="E175" s="22" t="s">
        <v>56</v>
      </c>
      <c r="F175" s="16" t="s">
        <v>492</v>
      </c>
    </row>
    <row r="176" spans="1:6" ht="16.5" hidden="1">
      <c r="A176" s="8">
        <v>931066039</v>
      </c>
      <c r="B176" s="16" t="str">
        <f>IF(A176&lt;&gt;"", VLOOKUP(A176,'Danh Sách Tổng KH'!$A$1:$B$547,2,0),"")</f>
        <v>Nguyễn Văn Trường</v>
      </c>
      <c r="C176" s="19">
        <v>150000</v>
      </c>
      <c r="D176" s="21">
        <v>46049</v>
      </c>
      <c r="E176" s="22" t="s">
        <v>56</v>
      </c>
      <c r="F176" s="16" t="s">
        <v>492</v>
      </c>
    </row>
    <row r="177" spans="1:6" ht="16.5" hidden="1">
      <c r="A177" s="8">
        <v>768806317</v>
      </c>
      <c r="B177" s="16" t="str">
        <f>IF(A177&lt;&gt;"", VLOOKUP(A177,'Danh Sách Tổng KH'!$A$1:$B$547,2,0),"")</f>
        <v>Trần Quang Dũng</v>
      </c>
      <c r="C177" s="19">
        <v>150000</v>
      </c>
      <c r="D177" s="21">
        <v>46049</v>
      </c>
      <c r="E177" s="22" t="s">
        <v>56</v>
      </c>
      <c r="F177" s="16" t="s">
        <v>492</v>
      </c>
    </row>
    <row r="178" spans="1:6" ht="16.5" hidden="1">
      <c r="A178" s="8">
        <v>901040568</v>
      </c>
      <c r="B178" s="16" t="str">
        <f>IF(A178&lt;&gt;"", VLOOKUP(A178,'Danh Sách Tổng KH'!$A$1:$B$547,2,0),"")</f>
        <v>Trần Khắc Nhu</v>
      </c>
      <c r="C178" s="19">
        <v>100000</v>
      </c>
      <c r="D178" s="21">
        <v>46089</v>
      </c>
      <c r="E178" s="22" t="s">
        <v>94</v>
      </c>
      <c r="F178" s="16" t="s">
        <v>492</v>
      </c>
    </row>
    <row r="179" spans="1:6" ht="16.5" hidden="1">
      <c r="A179" s="8">
        <v>938633589</v>
      </c>
      <c r="B179" s="16" t="str">
        <f>IF(A179&lt;&gt;"", VLOOKUP(A179,'Danh Sách Tổng KH'!$A$1:$B$547,2,0),"")</f>
        <v>Trần Khắc Nhu</v>
      </c>
      <c r="C179" s="19">
        <v>50000</v>
      </c>
      <c r="D179" s="21">
        <v>46089</v>
      </c>
      <c r="E179" s="22" t="s">
        <v>94</v>
      </c>
      <c r="F179" s="16" t="s">
        <v>492</v>
      </c>
    </row>
    <row r="180" spans="1:6" ht="16.5" hidden="1">
      <c r="A180" s="8">
        <v>908660885</v>
      </c>
      <c r="B180" s="16" t="str">
        <f>IF(A180&lt;&gt;"", VLOOKUP(A180,'Danh Sách Tổng KH'!$A$1:$B$547,2,0),"")</f>
        <v>Trần Khắc Nhu</v>
      </c>
      <c r="C180" s="19">
        <v>100000</v>
      </c>
      <c r="D180" s="21">
        <v>46089</v>
      </c>
      <c r="E180" s="22" t="s">
        <v>94</v>
      </c>
      <c r="F180" s="16" t="s">
        <v>492</v>
      </c>
    </row>
    <row r="181" spans="1:6" ht="16.5" hidden="1">
      <c r="A181" s="8">
        <v>932919279</v>
      </c>
      <c r="B181" s="16" t="str">
        <f>IF(A181&lt;&gt;"", VLOOKUP(A181,'Danh Sách Tổng KH'!$A$1:$B$547,2,0),"")</f>
        <v>Trần Khắc Nhu</v>
      </c>
      <c r="C181" s="19">
        <v>150000</v>
      </c>
      <c r="D181" s="21">
        <v>46089</v>
      </c>
      <c r="E181" s="22" t="s">
        <v>94</v>
      </c>
      <c r="F181" s="16" t="s">
        <v>492</v>
      </c>
    </row>
    <row r="182" spans="1:6" ht="16.5" hidden="1">
      <c r="A182" s="8">
        <v>763901500</v>
      </c>
      <c r="B182" s="16" t="str">
        <f>IF(A182&lt;&gt;"", VLOOKUP(A182,'Danh Sách Tổng KH'!$A$1:$B$547,2,0),"")</f>
        <v>Nguyễn Thu Hà gần anh thạnh LP ghé thu</v>
      </c>
      <c r="C182" s="19">
        <v>100000</v>
      </c>
      <c r="D182" s="21">
        <v>46096</v>
      </c>
      <c r="E182" s="22" t="s">
        <v>94</v>
      </c>
      <c r="F182" s="16" t="s">
        <v>492</v>
      </c>
    </row>
    <row r="183" spans="1:6" ht="16.5" hidden="1">
      <c r="A183" s="8">
        <v>766802003</v>
      </c>
      <c r="B183" s="16" t="str">
        <f>IF(A183&lt;&gt;"", VLOOKUP(A183,'Danh Sách Tổng KH'!$A$1:$B$547,2,0),"")</f>
        <v>Huỳnh Thị Mỹ Quyên heo quay phu duc</v>
      </c>
      <c r="C183" s="19">
        <v>150000</v>
      </c>
      <c r="D183" s="21">
        <v>46122</v>
      </c>
      <c r="E183" s="22" t="s">
        <v>94</v>
      </c>
      <c r="F183" s="16" t="s">
        <v>492</v>
      </c>
    </row>
    <row r="184" spans="1:6" ht="16.5" hidden="1">
      <c r="A184" s="8">
        <v>763901500</v>
      </c>
      <c r="B184" s="16" t="str">
        <f>IF(A184&lt;&gt;"", VLOOKUP(A184,'Danh Sách Tổng KH'!$A$1:$B$547,2,0),"")</f>
        <v>Nguyễn Thu Hà gần anh thạnh LP ghé thu</v>
      </c>
      <c r="C184" s="19">
        <v>100000</v>
      </c>
      <c r="D184" s="21">
        <v>46122</v>
      </c>
      <c r="E184" s="22" t="s">
        <v>94</v>
      </c>
      <c r="F184" s="16" t="s">
        <v>492</v>
      </c>
    </row>
    <row r="185" spans="1:6" ht="16.5" hidden="1">
      <c r="A185" s="8">
        <v>909251316</v>
      </c>
      <c r="B185" s="16" t="str">
        <f>IF(A185&lt;&gt;"", VLOOKUP(A185,'Danh Sách Tổng KH'!$A$1:$B$547,2,0),"")</f>
        <v>Lê Tuấn Vương</v>
      </c>
      <c r="C185" s="19">
        <v>50000</v>
      </c>
      <c r="D185" s="21">
        <v>46142</v>
      </c>
      <c r="E185" s="22" t="s">
        <v>56</v>
      </c>
      <c r="F185" s="16" t="s">
        <v>510</v>
      </c>
    </row>
    <row r="186" spans="1:6" ht="16.5" hidden="1">
      <c r="A186" s="8">
        <v>934293092</v>
      </c>
      <c r="B186" s="16" t="str">
        <f>IF(A186&lt;&gt;"", VLOOKUP(A186,'Danh Sách Tổng KH'!$A$1:$B$547,2,0),"")</f>
        <v>Nguyễn Thị Mỹ Phượng</v>
      </c>
      <c r="C186" s="19">
        <v>100000</v>
      </c>
      <c r="D186" s="21">
        <v>46146</v>
      </c>
      <c r="E186" s="22" t="s">
        <v>56</v>
      </c>
      <c r="F186" s="16" t="s">
        <v>510</v>
      </c>
    </row>
    <row r="187" spans="1:6" ht="16.5" hidden="1">
      <c r="A187" s="8">
        <v>939093195</v>
      </c>
      <c r="B187" s="16" t="str">
        <f>IF(A187&lt;&gt;"", VLOOKUP(A187,'Danh Sách Tổng KH'!$A$1:$B$547,2,0),"")</f>
        <v>Nguyễn Đặng Quang Vinh</v>
      </c>
      <c r="C187" s="19">
        <v>100000</v>
      </c>
      <c r="D187" s="21">
        <v>46154</v>
      </c>
      <c r="E187" s="22" t="s">
        <v>56</v>
      </c>
      <c r="F187" s="16" t="s">
        <v>495</v>
      </c>
    </row>
    <row r="188" spans="1:6" ht="16.5" hidden="1">
      <c r="A188" s="8">
        <v>706706038</v>
      </c>
      <c r="B188" s="16" t="str">
        <f>IF(A188&lt;&gt;"", VLOOKUP(A188,'Danh Sách Tổng KH'!$A$1:$B$547,2,0),"")</f>
        <v>Lê Si MuômL</v>
      </c>
      <c r="C188" s="19">
        <v>100000</v>
      </c>
      <c r="D188" s="21">
        <v>46157</v>
      </c>
      <c r="E188" s="22" t="s">
        <v>94</v>
      </c>
      <c r="F188" s="16" t="s">
        <v>497</v>
      </c>
    </row>
    <row r="189" spans="1:6" ht="16.5" hidden="1">
      <c r="A189" s="8">
        <v>931793117</v>
      </c>
      <c r="B189" s="16" t="str">
        <f>IF(A189&lt;&gt;"", VLOOKUP(A189,'Danh Sách Tổng KH'!$A$1:$B$547,2,0),"")</f>
        <v>Đặng Thanh Thùy</v>
      </c>
      <c r="C189" s="19">
        <v>250000</v>
      </c>
      <c r="D189" s="21">
        <v>46199</v>
      </c>
      <c r="E189" s="22" t="s">
        <v>56</v>
      </c>
      <c r="F189" s="16"/>
    </row>
    <row r="190" spans="1:6" ht="16.5" hidden="1">
      <c r="A190" s="8">
        <v>931782783</v>
      </c>
      <c r="B190" s="16" t="str">
        <f>IF(A190&lt;&gt;"", VLOOKUP(A190,'Danh Sách Tổng KH'!$A$1:$B$547,2,0),"")</f>
        <v>Nguyễn Minh Chí</v>
      </c>
      <c r="C190" s="19">
        <v>200000</v>
      </c>
      <c r="D190" s="21">
        <v>46199</v>
      </c>
      <c r="E190" s="22" t="s">
        <v>56</v>
      </c>
      <c r="F190" s="16"/>
    </row>
    <row r="191" spans="1:6" ht="16.5" hidden="1">
      <c r="A191" s="8">
        <v>939689659</v>
      </c>
      <c r="B191" s="16" t="str">
        <f>IF(A191&lt;&gt;"", VLOOKUP(A191,'Danh Sách Tổng KH'!$A$1:$B$547,2,0),"")</f>
        <v>Huỳnh Tuấn Kiệt</v>
      </c>
      <c r="C191" s="19">
        <v>100000</v>
      </c>
      <c r="D191" s="21">
        <v>46250</v>
      </c>
      <c r="E191" s="22" t="s">
        <v>56</v>
      </c>
      <c r="F191" s="16" t="s">
        <v>511</v>
      </c>
    </row>
    <row r="192" spans="1:6" ht="16.5" hidden="1">
      <c r="A192" s="8">
        <v>901084883</v>
      </c>
      <c r="B192" s="16" t="str">
        <f>IF(A192&lt;&gt;"", VLOOKUP(A192,'Danh Sách Tổng KH'!$A$1:$B$547,2,0),"")</f>
        <v>Phạm Đồng Thịnh</v>
      </c>
      <c r="C192" s="19">
        <v>10000</v>
      </c>
      <c r="D192" s="21">
        <v>46254</v>
      </c>
      <c r="E192" s="22" t="s">
        <v>94</v>
      </c>
      <c r="F192" s="16" t="s">
        <v>512</v>
      </c>
    </row>
    <row r="193" spans="1:6" ht="16.5">
      <c r="A193" s="8"/>
      <c r="B193" s="16" t="str">
        <f>IF(A193&lt;&gt;"", VLOOKUP(A193,'Danh Sách Tổng KH'!$A$1:$B$547,2,0),"")</f>
        <v/>
      </c>
      <c r="C193" s="19"/>
      <c r="D193" s="21"/>
      <c r="E193" s="22"/>
      <c r="F193" s="16"/>
    </row>
    <row r="194" spans="1:6" ht="16.5">
      <c r="A194" s="8"/>
      <c r="B194" s="16" t="str">
        <f>IF(A194&lt;&gt;"", VLOOKUP(A194,'Danh Sách Tổng KH'!$A$1:$B$547,2,0),"")</f>
        <v/>
      </c>
      <c r="C194" s="19"/>
      <c r="D194" s="21"/>
      <c r="E194" s="22"/>
      <c r="F194" s="16"/>
    </row>
    <row r="195" spans="1:6" ht="16.5">
      <c r="A195" s="8"/>
      <c r="B195" s="16" t="str">
        <f>IF(A195&lt;&gt;"", VLOOKUP(A195,'Danh Sách Tổng KH'!$A$1:$B$547,2,0),"")</f>
        <v/>
      </c>
      <c r="C195" s="19"/>
      <c r="D195" s="21"/>
      <c r="E195" s="22"/>
      <c r="F195" s="16"/>
    </row>
    <row r="196" spans="1:6" ht="16.5">
      <c r="A196" s="8"/>
      <c r="B196" s="16" t="str">
        <f>IF(A196&lt;&gt;"", VLOOKUP(A196,'Danh Sách Tổng KH'!$A$1:$B$547,2,0),"")</f>
        <v/>
      </c>
      <c r="C196" s="19"/>
      <c r="D196" s="21"/>
      <c r="E196" s="22"/>
      <c r="F196" s="16"/>
    </row>
    <row r="197" spans="1:6" ht="16.5">
      <c r="A197" s="8"/>
      <c r="B197" s="16" t="str">
        <f>IF(A197&lt;&gt;"", VLOOKUP(A197,'Danh Sách Tổng KH'!$A$1:$B$547,2,0),"")</f>
        <v/>
      </c>
      <c r="C197" s="19"/>
      <c r="D197" s="21"/>
      <c r="E197" s="22"/>
      <c r="F197" s="16"/>
    </row>
    <row r="198" spans="1:6" ht="16.5">
      <c r="A198" s="8"/>
      <c r="B198" s="16" t="str">
        <f>IF(A198&lt;&gt;"", VLOOKUP(A198,'Danh Sách Tổng KH'!$A$1:$B$547,2,0),"")</f>
        <v/>
      </c>
      <c r="C198" s="19"/>
      <c r="D198" s="21"/>
      <c r="E198" s="22"/>
      <c r="F198" s="16"/>
    </row>
    <row r="199" spans="1:6" ht="16.5">
      <c r="A199" s="8"/>
      <c r="B199" s="16" t="str">
        <f>IF(A199&lt;&gt;"", VLOOKUP(A199,'Danh Sách Tổng KH'!$A$1:$B$547,2,0),"")</f>
        <v/>
      </c>
      <c r="C199" s="19"/>
      <c r="D199" s="21"/>
      <c r="E199" s="22"/>
      <c r="F199" s="16"/>
    </row>
    <row r="200" spans="1:6" ht="16.5">
      <c r="A200" s="8"/>
      <c r="B200" s="16" t="str">
        <f>IF(A200&lt;&gt;"", VLOOKUP(A200,'Danh Sách Tổng KH'!$A$1:$B$547,2,0),"")</f>
        <v/>
      </c>
      <c r="C200" s="19"/>
      <c r="D200" s="21"/>
      <c r="E200" s="22"/>
      <c r="F200" s="16"/>
    </row>
    <row r="201" spans="1:6" ht="16.5">
      <c r="A201" s="8"/>
      <c r="B201" s="16" t="str">
        <f>IF(A201&lt;&gt;"", VLOOKUP(A201,'Danh Sách Tổng KH'!$A$1:$B$547,2,0),"")</f>
        <v/>
      </c>
      <c r="C201" s="19"/>
      <c r="D201" s="21"/>
      <c r="E201" s="22"/>
      <c r="F201" s="16"/>
    </row>
    <row r="202" spans="1:6" ht="16.5">
      <c r="A202" s="8"/>
      <c r="B202" s="16" t="str">
        <f>IF(A202&lt;&gt;"", VLOOKUP(A202,'Danh Sách Tổng KH'!$A$1:$B$547,2,0),"")</f>
        <v/>
      </c>
      <c r="C202" s="19"/>
      <c r="D202" s="21"/>
      <c r="E202" s="22"/>
      <c r="F202" s="16"/>
    </row>
    <row r="203" spans="1:6" ht="16.5">
      <c r="A203" s="8"/>
      <c r="B203" s="16" t="str">
        <f>IF(A203&lt;&gt;"", VLOOKUP(A203,'Danh Sách Tổng KH'!$A$1:$B$547,2,0),"")</f>
        <v/>
      </c>
      <c r="C203" s="19"/>
      <c r="D203" s="21"/>
      <c r="E203" s="22"/>
      <c r="F203" s="16"/>
    </row>
    <row r="204" spans="1:6" ht="16.5">
      <c r="A204" s="8"/>
      <c r="B204" s="16" t="str">
        <f>IF(A204&lt;&gt;"", VLOOKUP(A204,'Danh Sách Tổng KH'!$A$1:$B$547,2,0),"")</f>
        <v/>
      </c>
      <c r="C204" s="19"/>
      <c r="D204" s="21"/>
      <c r="E204" s="22"/>
      <c r="F204" s="16"/>
    </row>
    <row r="205" spans="1:6" ht="16.5">
      <c r="A205" s="8"/>
      <c r="B205" s="16" t="str">
        <f>IF(A205&lt;&gt;"", VLOOKUP(A205,'Danh Sách Tổng KH'!$A$1:$B$547,2,0),"")</f>
        <v/>
      </c>
      <c r="C205" s="19"/>
      <c r="D205" s="21"/>
      <c r="E205" s="22"/>
      <c r="F205" s="16"/>
    </row>
    <row r="206" spans="1:6" ht="16.5">
      <c r="A206" s="8"/>
      <c r="B206" s="16" t="str">
        <f>IF(A206&lt;&gt;"", VLOOKUP(A206,'Danh Sách Tổng KH'!$A$1:$B$547,2,0),"")</f>
        <v/>
      </c>
      <c r="C206" s="19"/>
      <c r="D206" s="21"/>
      <c r="E206" s="22"/>
      <c r="F206" s="16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55"/>
  <sheetViews>
    <sheetView workbookViewId="0">
      <selection sqref="A1:F1"/>
    </sheetView>
  </sheetViews>
  <sheetFormatPr defaultColWidth="12.5703125" defaultRowHeight="15.75" customHeight="1"/>
  <cols>
    <col min="1" max="1" width="15.7109375" customWidth="1"/>
    <col min="2" max="2" width="18.7109375" customWidth="1"/>
    <col min="3" max="3" width="15" customWidth="1"/>
    <col min="6" max="6" width="14.7109375" customWidth="1"/>
  </cols>
  <sheetData>
    <row r="1" spans="1:8" ht="42.75" customHeight="1">
      <c r="A1" s="139" t="str">
        <f ca="1">"Đơn Phát Sinh Trong Tháng " &amp;MONTH(TODAY())</f>
        <v>Đơn Phát Sinh Trong Tháng 10</v>
      </c>
      <c r="B1" s="140"/>
      <c r="C1" s="140"/>
      <c r="D1" s="140"/>
      <c r="E1" s="140"/>
      <c r="F1" s="141"/>
      <c r="G1" s="10">
        <f t="shared" ref="G1:H1" si="0">SUMIF($E$3:$E999,G2,$C$3:$C999)</f>
        <v>3030000</v>
      </c>
      <c r="H1" s="10">
        <f t="shared" si="0"/>
        <v>610000</v>
      </c>
    </row>
    <row r="2" spans="1:8" ht="12.75">
      <c r="A2" s="11" t="s">
        <v>35</v>
      </c>
      <c r="B2" s="11" t="s">
        <v>41</v>
      </c>
      <c r="C2" s="11" t="s">
        <v>50</v>
      </c>
      <c r="D2" s="11" t="s">
        <v>71</v>
      </c>
      <c r="E2" s="11" t="s">
        <v>49</v>
      </c>
      <c r="F2" s="11" t="s">
        <v>73</v>
      </c>
      <c r="G2" s="11" t="s">
        <v>54</v>
      </c>
      <c r="H2" s="11" t="s">
        <v>56</v>
      </c>
    </row>
    <row r="3" spans="1:8" ht="16.5" hidden="1">
      <c r="A3" s="8">
        <v>939790925</v>
      </c>
      <c r="B3" s="16" t="str">
        <f>IF(A3&lt;&gt;"", VLOOKUP(A3,'Danh Sách Tổng KH'!$A$1:$B$547,2,0),"")</f>
        <v>Lê Thị Thu Thủy</v>
      </c>
      <c r="C3" s="19">
        <v>100000</v>
      </c>
      <c r="D3" s="21">
        <v>45463</v>
      </c>
      <c r="E3" s="22" t="s">
        <v>54</v>
      </c>
      <c r="F3" s="16">
        <v>6</v>
      </c>
    </row>
    <row r="4" spans="1:8" ht="16.5" hidden="1">
      <c r="A4" s="8">
        <v>787979164</v>
      </c>
      <c r="B4" s="16" t="str">
        <f>IF(A4&lt;&gt;"", VLOOKUP(A4,'Danh Sách Tổng KH'!$A$1:$B$547,2,0),"")</f>
        <v>Châu Vĩnh Toàn</v>
      </c>
      <c r="C4" s="19">
        <v>150000</v>
      </c>
      <c r="D4" s="21">
        <v>45463</v>
      </c>
      <c r="E4" s="22" t="s">
        <v>54</v>
      </c>
      <c r="F4" s="16">
        <v>6</v>
      </c>
    </row>
    <row r="5" spans="1:8" ht="16.5" hidden="1">
      <c r="A5" s="8">
        <v>911468998</v>
      </c>
      <c r="B5" s="16" t="str">
        <f>IF(A5&lt;&gt;"", VLOOKUP(A5,'Danh Sách Tổng KH'!$A$1:$B$547,2,0),"")</f>
        <v>thanh chợ agri</v>
      </c>
      <c r="C5" s="19">
        <v>100000</v>
      </c>
      <c r="D5" s="21">
        <v>45479</v>
      </c>
      <c r="E5" s="22" t="s">
        <v>54</v>
      </c>
      <c r="F5" s="16"/>
    </row>
    <row r="6" spans="1:8" ht="16.5" hidden="1">
      <c r="A6" s="8">
        <v>939517521</v>
      </c>
      <c r="B6" s="16" t="str">
        <f>IF(A6&lt;&gt;"", VLOOKUP(A6,'Danh Sách Tổng KH'!$A$1:$B$547,2,0),"")</f>
        <v>Nguyễn Thị Bé Chiều</v>
      </c>
      <c r="C6" s="19">
        <v>410000</v>
      </c>
      <c r="D6" s="21">
        <v>45522</v>
      </c>
      <c r="E6" s="22" t="s">
        <v>56</v>
      </c>
      <c r="F6" s="16">
        <v>8</v>
      </c>
    </row>
    <row r="7" spans="1:8" ht="16.5" hidden="1">
      <c r="A7" s="8">
        <v>939930030</v>
      </c>
      <c r="B7" s="16" t="str">
        <f>IF(A7&lt;&gt;"", VLOOKUP(A7,'Danh Sách Tổng KH'!$A$1:$B$547,2,0),"")</f>
        <v>Nguyễn Phúc Thiện</v>
      </c>
      <c r="C7" s="19">
        <v>150000</v>
      </c>
      <c r="D7" s="21">
        <v>45543</v>
      </c>
      <c r="E7" s="22" t="s">
        <v>94</v>
      </c>
      <c r="F7" s="16">
        <v>6</v>
      </c>
    </row>
    <row r="8" spans="1:8" ht="16.5" hidden="1">
      <c r="A8" s="8">
        <v>977283949</v>
      </c>
      <c r="B8" s="16" t="str">
        <f>IF(A8&lt;&gt;"", VLOOKUP(A8,'Danh Sách Tổng KH'!$A$1:$B$547,2,0),"")</f>
        <v>Trần Thị Mộng Cầm</v>
      </c>
      <c r="C8" s="19">
        <v>200000</v>
      </c>
      <c r="D8" s="21">
        <v>45543</v>
      </c>
      <c r="E8" s="22" t="s">
        <v>94</v>
      </c>
      <c r="F8" s="16">
        <v>6</v>
      </c>
    </row>
    <row r="9" spans="1:8" ht="16.5" hidden="1">
      <c r="A9" s="8">
        <v>939359580</v>
      </c>
      <c r="B9" s="16" t="str">
        <f>IF(A9&lt;&gt;"", VLOOKUP(A9,'Danh Sách Tổng KH'!$A$1:$B$547,2,0),"")</f>
        <v>Trần Thị Mỹ Cầm</v>
      </c>
      <c r="C9" s="19">
        <v>250000</v>
      </c>
      <c r="D9" s="21">
        <v>45543</v>
      </c>
      <c r="E9" s="22" t="s">
        <v>94</v>
      </c>
      <c r="F9" s="16">
        <v>6</v>
      </c>
    </row>
    <row r="10" spans="1:8" ht="16.5" hidden="1">
      <c r="A10" s="8">
        <v>932929119</v>
      </c>
      <c r="B10" s="16" t="str">
        <f>IF(A10&lt;&gt;"", VLOOKUP(A10,'Danh Sách Tổng KH'!$A$1:$B$547,2,0),"")</f>
        <v>Phạm Hoài Nam</v>
      </c>
      <c r="C10" s="19">
        <v>200000</v>
      </c>
      <c r="D10" s="21">
        <v>45543</v>
      </c>
      <c r="E10" s="22" t="s">
        <v>94</v>
      </c>
      <c r="F10" s="16">
        <v>5</v>
      </c>
    </row>
    <row r="11" spans="1:8" ht="16.5" hidden="1">
      <c r="A11" s="8">
        <v>939946379</v>
      </c>
      <c r="B11" s="16" t="str">
        <f>IF(A11&lt;&gt;"", VLOOKUP(A11,'Danh Sách Tổng KH'!$A$1:$B$547,2,0),"")</f>
        <v>Võ Anh Hoàng</v>
      </c>
      <c r="C11" s="19">
        <v>200000</v>
      </c>
      <c r="D11" s="21">
        <v>45543</v>
      </c>
      <c r="E11" s="22" t="s">
        <v>94</v>
      </c>
      <c r="F11" s="16">
        <v>6</v>
      </c>
    </row>
    <row r="12" spans="1:8" ht="16.5" hidden="1">
      <c r="A12" s="8">
        <v>794384630</v>
      </c>
      <c r="B12" s="16" t="str">
        <f>IF(A12&lt;&gt;"", VLOOKUP(A12,'Danh Sách Tổng KH'!$A$1:$B$547,2,0),"")</f>
        <v>Phan Thị Tô Vy</v>
      </c>
      <c r="C12" s="19">
        <v>150000</v>
      </c>
      <c r="D12" s="21">
        <v>45543</v>
      </c>
      <c r="E12" s="22" t="s">
        <v>94</v>
      </c>
      <c r="F12" s="16">
        <v>6</v>
      </c>
    </row>
    <row r="13" spans="1:8" ht="16.5" hidden="1">
      <c r="A13" s="8">
        <v>939112983</v>
      </c>
      <c r="B13" s="16" t="str">
        <f>IF(A13&lt;&gt;"", VLOOKUP(A13,'Danh Sách Tổng KH'!$A$1:$B$547,2,0),"")</f>
        <v>Nguyễn Thị Kim Ngân Mật ong LP</v>
      </c>
      <c r="C13" s="19">
        <v>100000</v>
      </c>
      <c r="D13" s="47">
        <v>45549</v>
      </c>
      <c r="E13" s="22" t="s">
        <v>56</v>
      </c>
      <c r="F13" s="16" t="s">
        <v>152</v>
      </c>
    </row>
    <row r="14" spans="1:8" ht="16.5" hidden="1">
      <c r="A14" s="8">
        <v>911468998</v>
      </c>
      <c r="B14" s="16" t="str">
        <f>IF(A14&lt;&gt;"", VLOOKUP(A14,'Danh Sách Tổng KH'!$A$1:$B$547,2,0),"")</f>
        <v>thanh chợ agri</v>
      </c>
      <c r="C14" s="19">
        <v>100000</v>
      </c>
      <c r="D14" s="47">
        <v>45570</v>
      </c>
      <c r="E14" s="22" t="s">
        <v>94</v>
      </c>
      <c r="F14" s="16">
        <v>6</v>
      </c>
    </row>
    <row r="15" spans="1:8" ht="16.5" hidden="1">
      <c r="A15" s="8">
        <v>939339239</v>
      </c>
      <c r="B15" s="16" t="str">
        <f>IF(A15&lt;&gt;"", VLOOKUP(A15,'Danh Sách Tổng KH'!$A$1:$B$547,2,0),"")</f>
        <v>Võ Hoàng Phương Thư</v>
      </c>
      <c r="C15" s="19">
        <v>250000</v>
      </c>
      <c r="D15" s="47">
        <v>45570</v>
      </c>
      <c r="E15" s="22" t="s">
        <v>94</v>
      </c>
      <c r="F15" s="16">
        <v>6</v>
      </c>
    </row>
    <row r="16" spans="1:8" ht="16.5" hidden="1">
      <c r="A16" s="8">
        <v>939112983</v>
      </c>
      <c r="B16" s="16" t="str">
        <f>IF(A16&lt;&gt;"", VLOOKUP(A16,'Danh Sách Tổng KH'!$A$1:$B$547,2,0),"")</f>
        <v>Nguyễn Thị Kim Ngân Mật ong LP</v>
      </c>
      <c r="C16" s="19">
        <v>100000</v>
      </c>
      <c r="D16" s="21">
        <v>45620</v>
      </c>
      <c r="E16" s="22" t="s">
        <v>56</v>
      </c>
      <c r="F16" s="22"/>
      <c r="G16" s="49"/>
    </row>
    <row r="17" spans="1:6" ht="16.5" hidden="1">
      <c r="A17" s="8">
        <v>776505070</v>
      </c>
      <c r="B17" s="16" t="str">
        <f>IF(A17&lt;&gt;"", VLOOKUP(A17,'Danh Sách Tổng KH'!$A$1:$B$547,2,0),"")</f>
        <v>Nguyễn Thị Quí VLXD Thành Nhơn</v>
      </c>
      <c r="C17" s="19">
        <v>170000</v>
      </c>
      <c r="D17" s="47">
        <v>45761</v>
      </c>
      <c r="E17" s="22" t="s">
        <v>94</v>
      </c>
      <c r="F17" s="16">
        <v>5</v>
      </c>
    </row>
    <row r="18" spans="1:6" ht="16.5" hidden="1">
      <c r="A18" s="8">
        <v>898058958</v>
      </c>
      <c r="B18" s="16" t="str">
        <f>IF(A18&lt;&gt;"", VLOOKUP(A18,'Danh Sách Tổng KH'!$A$1:$B$547,2,0),"")</f>
        <v>Nguyễn Kim Thảo</v>
      </c>
      <c r="C18" s="19">
        <v>150000</v>
      </c>
      <c r="D18" s="47">
        <v>45761</v>
      </c>
      <c r="E18" s="22" t="s">
        <v>94</v>
      </c>
      <c r="F18" s="16">
        <v>5</v>
      </c>
    </row>
    <row r="19" spans="1:6" ht="16.5" hidden="1">
      <c r="A19" s="8">
        <v>931069089</v>
      </c>
      <c r="B19" s="16" t="str">
        <f>IF(A19&lt;&gt;"", VLOOKUP(A19,'Danh Sách Tổng KH'!$A$1:$B$547,2,0),"")</f>
        <v>Công Ty TNHH MTV Đức Phát Hoàng Gia</v>
      </c>
      <c r="C19" s="19">
        <v>250000</v>
      </c>
      <c r="D19" s="47">
        <v>45761</v>
      </c>
      <c r="E19" s="22" t="s">
        <v>94</v>
      </c>
      <c r="F19" s="16">
        <v>5</v>
      </c>
    </row>
    <row r="20" spans="1:6" ht="16.5" hidden="1">
      <c r="A20" s="8">
        <v>939979101</v>
      </c>
      <c r="B20" s="16" t="str">
        <f>IF(A20&lt;&gt;"", VLOOKUP(A20,'Danh Sách Tổng KH'!$A$1:$B$547,2,0),"")</f>
        <v>Lê Nguyễn Hồng Nhung</v>
      </c>
      <c r="C20" s="19">
        <v>160000</v>
      </c>
      <c r="D20" s="47">
        <v>45789</v>
      </c>
      <c r="E20" s="22" t="s">
        <v>94</v>
      </c>
      <c r="F20" s="22">
        <v>6</v>
      </c>
    </row>
    <row r="21" spans="1:6" ht="16.5" hidden="1">
      <c r="A21" s="8">
        <v>797380699</v>
      </c>
      <c r="B21" s="16" t="str">
        <f>IF(A21&lt;&gt;"", VLOOKUP(A21,'Danh Sách Tổng KH'!$A$1:$B$547,2,0),"")</f>
        <v>Trần Thanh Hưng</v>
      </c>
      <c r="C21" s="19">
        <v>150000</v>
      </c>
      <c r="D21" s="47">
        <v>46097</v>
      </c>
      <c r="E21" s="22" t="s">
        <v>94</v>
      </c>
      <c r="F21" s="22">
        <v>6</v>
      </c>
    </row>
    <row r="22" spans="1:6" ht="16.5" hidden="1">
      <c r="A22" s="8">
        <v>901767878</v>
      </c>
      <c r="B22" s="16" t="str">
        <f>IF(A22&lt;&gt;"", VLOOKUP(A22,'Danh Sách Tổng KH'!$A$1:$B$547,2,0),"")</f>
        <v>Thầu Lý</v>
      </c>
      <c r="C22" s="19">
        <v>300000</v>
      </c>
      <c r="D22" s="47">
        <v>46109</v>
      </c>
      <c r="E22" s="22" t="s">
        <v>94</v>
      </c>
      <c r="F22" s="22"/>
    </row>
    <row r="23" spans="1:6" ht="16.5">
      <c r="A23" s="8"/>
      <c r="B23" s="16" t="str">
        <f>IF(A23&lt;&gt;"", VLOOKUP(A23,'Danh Sách Tổng KH'!$A$1:$B$547,2,0),"")</f>
        <v/>
      </c>
      <c r="C23" s="19"/>
      <c r="D23" s="47"/>
      <c r="E23" s="22"/>
      <c r="F23" s="22"/>
    </row>
    <row r="24" spans="1:6" ht="16.5">
      <c r="A24" s="8"/>
      <c r="B24" s="16" t="str">
        <f>IF(A24&lt;&gt;"", VLOOKUP(A24,'Danh Sách Tổng KH'!$A$1:$B$547,2,0),"")</f>
        <v/>
      </c>
      <c r="C24" s="19"/>
      <c r="D24" s="47"/>
      <c r="E24" s="22"/>
      <c r="F24" s="22"/>
    </row>
    <row r="25" spans="1:6" ht="16.5">
      <c r="A25" s="8"/>
      <c r="B25" s="16" t="str">
        <f>IF(A25&lt;&gt;"", VLOOKUP(A25,'Danh Sách Tổng KH'!$A$1:$B$547,2,0),"")</f>
        <v/>
      </c>
      <c r="C25" s="19"/>
      <c r="D25" s="47"/>
      <c r="E25" s="22"/>
      <c r="F25" s="22"/>
    </row>
    <row r="26" spans="1:6" ht="16.5">
      <c r="A26" s="8"/>
      <c r="B26" s="16" t="str">
        <f>IF(A26&lt;&gt;"", VLOOKUP(A26,'Danh Sách Tổng KH'!$A$1:$B$547,2,0),"")</f>
        <v/>
      </c>
      <c r="C26" s="19"/>
      <c r="D26" s="47"/>
      <c r="E26" s="22"/>
      <c r="F26" s="22"/>
    </row>
    <row r="27" spans="1:6" ht="16.5">
      <c r="A27" s="8"/>
      <c r="B27" s="16" t="str">
        <f>IF(A27&lt;&gt;"", VLOOKUP(A27,'Danh Sách Tổng KH'!$A$1:$B$547,2,0),"")</f>
        <v/>
      </c>
      <c r="C27" s="19"/>
      <c r="D27" s="47"/>
      <c r="E27" s="22"/>
      <c r="F27" s="22"/>
    </row>
    <row r="28" spans="1:6" ht="16.5">
      <c r="A28" s="8"/>
      <c r="B28" s="16" t="str">
        <f>IF(A28&lt;&gt;"", VLOOKUP(A28,'Danh Sách Tổng KH'!$A$1:$B$547,2,0),"")</f>
        <v/>
      </c>
      <c r="C28" s="19"/>
      <c r="D28" s="47"/>
      <c r="E28" s="22"/>
      <c r="F28" s="22"/>
    </row>
    <row r="29" spans="1:6" ht="16.5">
      <c r="A29" s="8"/>
      <c r="B29" s="16" t="str">
        <f>IF(A29&lt;&gt;"", VLOOKUP(A29,'Danh Sách Tổng KH'!$A$1:$B$547,2,0),"")</f>
        <v/>
      </c>
      <c r="C29" s="19"/>
      <c r="D29" s="47"/>
      <c r="E29" s="22"/>
      <c r="F29" s="22"/>
    </row>
    <row r="30" spans="1:6" ht="16.5">
      <c r="A30" s="8"/>
      <c r="B30" s="16" t="str">
        <f>IF(A30&lt;&gt;"", VLOOKUP(A30,'Danh Sách Tổng KH'!$A$1:$B$547,2,0),"")</f>
        <v/>
      </c>
      <c r="C30" s="19"/>
      <c r="D30" s="47"/>
      <c r="E30" s="22"/>
      <c r="F30" s="22"/>
    </row>
    <row r="31" spans="1:6" ht="16.5">
      <c r="A31" s="8"/>
      <c r="B31" s="16" t="str">
        <f>IF(A31&lt;&gt;"", VLOOKUP(A31,'Danh Sách Tổng KH'!$A$1:$B$547,2,0),"")</f>
        <v/>
      </c>
      <c r="C31" s="19"/>
      <c r="D31" s="47"/>
      <c r="E31" s="22"/>
      <c r="F31" s="22"/>
    </row>
    <row r="32" spans="1:6" ht="16.5">
      <c r="A32" s="8"/>
      <c r="B32" s="16" t="str">
        <f>IF(A32&lt;&gt;"", VLOOKUP(A32,'Danh Sách Tổng KH'!$A$1:$B$547,2,0),"")</f>
        <v/>
      </c>
      <c r="C32" s="19"/>
      <c r="D32" s="47"/>
      <c r="E32" s="22"/>
      <c r="F32" s="22"/>
    </row>
    <row r="33" spans="1:6" ht="16.5">
      <c r="A33" s="8"/>
      <c r="B33" s="16" t="str">
        <f>IF(A33&lt;&gt;"", VLOOKUP(A33,'Danh Sách Tổng KH'!$A$1:$B$547,2,0),"")</f>
        <v/>
      </c>
      <c r="C33" s="19"/>
      <c r="D33" s="47"/>
      <c r="E33" s="22"/>
      <c r="F33" s="22"/>
    </row>
    <row r="34" spans="1:6" ht="16.5">
      <c r="A34" s="8"/>
      <c r="B34" s="16" t="str">
        <f>IF(A34&lt;&gt;"", VLOOKUP(A34,'Danh Sách Tổng KH'!$A$1:$B$547,2,0),"")</f>
        <v/>
      </c>
      <c r="C34" s="19"/>
      <c r="D34" s="47"/>
      <c r="E34" s="22"/>
      <c r="F34" s="22"/>
    </row>
    <row r="35" spans="1:6" ht="16.5">
      <c r="A35" s="8"/>
      <c r="B35" s="16" t="str">
        <f>IF(A35&lt;&gt;"", VLOOKUP(A35,'Danh Sách Tổng KH'!$A$1:$B$547,2,0),"")</f>
        <v/>
      </c>
      <c r="C35" s="19"/>
      <c r="D35" s="47"/>
      <c r="E35" s="22"/>
      <c r="F35" s="22"/>
    </row>
    <row r="36" spans="1:6" ht="16.5">
      <c r="A36" s="8"/>
      <c r="B36" s="16" t="str">
        <f>IF(A36&lt;&gt;"", VLOOKUP(A36,'Danh Sách Tổng KH'!$A$1:$B$547,2,0),"")</f>
        <v/>
      </c>
      <c r="C36" s="19"/>
      <c r="D36" s="47"/>
      <c r="E36" s="22"/>
      <c r="F36" s="22"/>
    </row>
    <row r="37" spans="1:6" ht="16.5">
      <c r="A37" s="8"/>
      <c r="B37" s="16" t="str">
        <f>IF(A37&lt;&gt;"", VLOOKUP(A37,'Danh Sách Tổng KH'!$A$1:$B$547,2,0),"")</f>
        <v/>
      </c>
      <c r="C37" s="19"/>
      <c r="D37" s="47"/>
      <c r="E37" s="22"/>
      <c r="F37" s="22"/>
    </row>
    <row r="38" spans="1:6" ht="16.5">
      <c r="A38" s="8"/>
      <c r="B38" s="16" t="str">
        <f>IF(A38&lt;&gt;"", VLOOKUP(A38,'Danh Sách Tổng KH'!$A$1:$B$547,2,0),"")</f>
        <v/>
      </c>
      <c r="C38" s="19"/>
      <c r="D38" s="47"/>
      <c r="E38" s="22"/>
      <c r="F38" s="22"/>
    </row>
    <row r="39" spans="1:6" ht="16.5">
      <c r="A39" s="8"/>
      <c r="B39" s="16" t="str">
        <f>IF(A39&lt;&gt;"", VLOOKUP(A39,'Danh Sách Tổng KH'!$A$1:$B$547,2,0),"")</f>
        <v/>
      </c>
      <c r="C39" s="19"/>
      <c r="D39" s="47"/>
      <c r="E39" s="22"/>
      <c r="F39" s="22"/>
    </row>
    <row r="40" spans="1:6" ht="16.5">
      <c r="A40" s="8"/>
      <c r="B40" s="16" t="str">
        <f>IF(A40&lt;&gt;"", VLOOKUP(A40,'Danh Sách Tổng KH'!$A$1:$B$547,2,0),"")</f>
        <v/>
      </c>
      <c r="C40" s="19"/>
      <c r="D40" s="47"/>
      <c r="E40" s="22"/>
      <c r="F40" s="22"/>
    </row>
    <row r="41" spans="1:6" ht="16.5">
      <c r="A41" s="8"/>
      <c r="B41" s="16" t="str">
        <f>IF(A41&lt;&gt;"", VLOOKUP(A41,'Danh Sách Tổng KH'!$A$1:$B$547,2,0),"")</f>
        <v/>
      </c>
      <c r="C41" s="19"/>
      <c r="D41" s="47"/>
      <c r="E41" s="22"/>
      <c r="F41" s="22"/>
    </row>
    <row r="42" spans="1:6" ht="16.5">
      <c r="A42" s="8"/>
      <c r="B42" s="16" t="str">
        <f>IF(A42&lt;&gt;"", VLOOKUP(A42,'Danh Sách Tổng KH'!$A$1:$B$547,2,0),"")</f>
        <v/>
      </c>
      <c r="C42" s="19"/>
      <c r="D42" s="47"/>
      <c r="E42" s="22"/>
      <c r="F42" s="22"/>
    </row>
    <row r="43" spans="1:6" ht="16.5">
      <c r="A43" s="8"/>
      <c r="B43" s="16" t="str">
        <f>IF(A43&lt;&gt;"", VLOOKUP(A43,'Danh Sách Tổng KH'!$A$1:$B$547,2,0),"")</f>
        <v/>
      </c>
      <c r="C43" s="19"/>
      <c r="D43" s="47"/>
      <c r="E43" s="22"/>
      <c r="F43" s="22"/>
    </row>
    <row r="44" spans="1:6" ht="16.5">
      <c r="A44" s="8"/>
      <c r="B44" s="16" t="str">
        <f>IF(A44&lt;&gt;"", VLOOKUP(A44,'Danh Sách Tổng KH'!$A$1:$B$547,2,0),"")</f>
        <v/>
      </c>
      <c r="C44" s="19"/>
      <c r="D44" s="47"/>
      <c r="E44" s="22"/>
      <c r="F44" s="22"/>
    </row>
    <row r="45" spans="1:6" ht="16.5">
      <c r="A45" s="8"/>
      <c r="B45" s="16" t="str">
        <f>IF(A45&lt;&gt;"", VLOOKUP(A45,'Danh Sách Tổng KH'!$A$1:$B$547,2,0),"")</f>
        <v/>
      </c>
      <c r="C45" s="19"/>
      <c r="D45" s="47"/>
      <c r="E45" s="22"/>
      <c r="F45" s="22"/>
    </row>
    <row r="46" spans="1:6" ht="16.5">
      <c r="A46" s="8"/>
      <c r="B46" s="16" t="str">
        <f>IF(A46&lt;&gt;"", VLOOKUP(A46,'Danh Sách Tổng KH'!$A$1:$B$547,2,0),"")</f>
        <v/>
      </c>
      <c r="C46" s="19"/>
      <c r="D46" s="47"/>
      <c r="E46" s="22"/>
      <c r="F46" s="22"/>
    </row>
    <row r="47" spans="1:6" ht="16.5">
      <c r="A47" s="8"/>
      <c r="B47" s="16" t="str">
        <f>IF(A47&lt;&gt;"", VLOOKUP(A47,'Danh Sách Tổng KH'!$A$1:$B$547,2,0),"")</f>
        <v/>
      </c>
      <c r="C47" s="19"/>
      <c r="D47" s="47"/>
      <c r="E47" s="22"/>
      <c r="F47" s="22"/>
    </row>
    <row r="48" spans="1:6" ht="16.5">
      <c r="A48" s="8"/>
      <c r="B48" s="16" t="str">
        <f>IF(A48&lt;&gt;"", VLOOKUP(A48,'Danh Sách Tổng KH'!$A$1:$B$547,2,0),"")</f>
        <v/>
      </c>
      <c r="C48" s="19"/>
      <c r="D48" s="47"/>
      <c r="E48" s="22"/>
      <c r="F48" s="22"/>
    </row>
    <row r="49" spans="1:6" ht="16.5">
      <c r="A49" s="8"/>
      <c r="B49" s="16" t="str">
        <f>IF(A49&lt;&gt;"", VLOOKUP(A49,'Danh Sách Tổng KH'!$A$1:$B$547,2,0),"")</f>
        <v/>
      </c>
      <c r="C49" s="19"/>
      <c r="D49" s="47"/>
      <c r="E49" s="22"/>
      <c r="F49" s="22"/>
    </row>
    <row r="50" spans="1:6" ht="16.5">
      <c r="A50" s="8"/>
      <c r="B50" s="16" t="str">
        <f>IF(A50&lt;&gt;"", VLOOKUP(A50,'Danh Sách Tổng KH'!$A$1:$B$547,2,0),"")</f>
        <v/>
      </c>
      <c r="C50" s="19"/>
      <c r="D50" s="47"/>
      <c r="E50" s="22"/>
      <c r="F50" s="22"/>
    </row>
    <row r="51" spans="1:6" ht="16.5">
      <c r="A51" s="8"/>
      <c r="B51" s="16" t="str">
        <f>IF(A51&lt;&gt;"", VLOOKUP(A51,'Danh Sách Tổng KH'!$A$1:$B$547,2,0),"")</f>
        <v/>
      </c>
      <c r="C51" s="19"/>
      <c r="D51" s="47"/>
      <c r="E51" s="22"/>
      <c r="F51" s="22"/>
    </row>
    <row r="52" spans="1:6" ht="16.5">
      <c r="A52" s="8"/>
      <c r="B52" s="16" t="str">
        <f>IF(A52&lt;&gt;"", VLOOKUP(A52,'Danh Sách Tổng KH'!$A$1:$B$547,2,0),"")</f>
        <v/>
      </c>
      <c r="C52" s="19"/>
      <c r="D52" s="47"/>
      <c r="E52" s="22"/>
      <c r="F52" s="22"/>
    </row>
    <row r="53" spans="1:6" ht="16.5">
      <c r="A53" s="8"/>
      <c r="B53" s="16" t="str">
        <f>IF(A53&lt;&gt;"", VLOOKUP(A53,'Danh Sách Tổng KH'!$A$1:$B$547,2,0),"")</f>
        <v/>
      </c>
      <c r="C53" s="19"/>
      <c r="D53" s="47"/>
      <c r="E53" s="22"/>
      <c r="F53" s="22"/>
    </row>
    <row r="54" spans="1:6" ht="16.5">
      <c r="A54" s="8"/>
      <c r="B54" s="16" t="str">
        <f>IF(A54&lt;&gt;"", VLOOKUP(A54,'Danh Sách Tổng KH'!$A$1:$B$547,2,0),"")</f>
        <v/>
      </c>
      <c r="C54" s="19"/>
      <c r="D54" s="47"/>
      <c r="E54" s="22"/>
      <c r="F54" s="22"/>
    </row>
    <row r="55" spans="1:6" ht="16.5">
      <c r="A55" s="8"/>
      <c r="B55" s="16" t="str">
        <f>IF(A55&lt;&gt;"", VLOOKUP(A55,'Danh Sách Tổng KH'!$A$1:$B$547,2,0),"")</f>
        <v/>
      </c>
      <c r="C55" s="19"/>
      <c r="D55" s="47"/>
      <c r="E55" s="22"/>
      <c r="F55" s="22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505"/>
  <sheetViews>
    <sheetView workbookViewId="0">
      <selection sqref="A1:E1"/>
    </sheetView>
  </sheetViews>
  <sheetFormatPr defaultColWidth="12.5703125" defaultRowHeight="15.75" customHeight="1"/>
  <cols>
    <col min="1" max="1" width="20.28515625" customWidth="1"/>
    <col min="2" max="2" width="25" customWidth="1"/>
    <col min="3" max="3" width="20.28515625" customWidth="1"/>
    <col min="6" max="6" width="20.42578125" customWidth="1"/>
  </cols>
  <sheetData>
    <row r="1" spans="1:6" ht="42.75" customHeight="1">
      <c r="A1" s="142" t="str">
        <f ca="1">"ĐƠN CHƯA CHO CHẠY TRONG THÁNG " &amp;MONTH(TODAY())</f>
        <v>ĐƠN CHƯA CHO CHẠY TRONG THÁNG 10</v>
      </c>
      <c r="B1" s="140"/>
      <c r="C1" s="140"/>
      <c r="D1" s="140"/>
      <c r="E1" s="140"/>
    </row>
    <row r="2" spans="1:6" ht="12.75">
      <c r="A2" s="11" t="s">
        <v>35</v>
      </c>
      <c r="B2" s="11" t="s">
        <v>41</v>
      </c>
      <c r="C2" s="11" t="s">
        <v>44</v>
      </c>
      <c r="D2" s="11" t="s">
        <v>50</v>
      </c>
      <c r="E2" s="11" t="s">
        <v>52</v>
      </c>
      <c r="F2" s="11" t="s">
        <v>55</v>
      </c>
    </row>
    <row r="3" spans="1:6" ht="16.5" hidden="1">
      <c r="A3" s="12">
        <v>907602719</v>
      </c>
      <c r="B3" s="17" t="str">
        <f>IF(A3&lt;&gt;"", VLOOKUP(A3,'Danh Sách Tổng KH'!$A$1:$B$547,2,0),"")</f>
        <v>Nguyễn Thị Thùy Loan</v>
      </c>
      <c r="C3" s="23" t="str">
        <f t="shared" ref="C3:C170" si="0">IF(B3&lt;&gt;"","Chưa cho lên đơn","")</f>
        <v>Chưa cho lên đơn</v>
      </c>
      <c r="D3" s="25">
        <v>160000</v>
      </c>
      <c r="E3" s="25" t="s">
        <v>86</v>
      </c>
      <c r="F3" s="26" t="s">
        <v>87</v>
      </c>
    </row>
    <row r="4" spans="1:6" ht="16.5" hidden="1">
      <c r="A4" s="12">
        <v>907998131</v>
      </c>
      <c r="B4" s="17" t="str">
        <f>IF(A4&lt;&gt;"", VLOOKUP(A4,'Danh Sách Tổng KH'!$A$1:$B$547,2,0),"")</f>
        <v>Nguyễn Xuân Thu</v>
      </c>
      <c r="C4" s="23" t="str">
        <f t="shared" si="0"/>
        <v>Chưa cho lên đơn</v>
      </c>
      <c r="D4" s="25">
        <v>120000</v>
      </c>
      <c r="E4" s="25" t="s">
        <v>86</v>
      </c>
      <c r="F4" s="26" t="s">
        <v>87</v>
      </c>
    </row>
    <row r="5" spans="1:6" ht="16.5" hidden="1">
      <c r="A5" s="12">
        <v>936343799</v>
      </c>
      <c r="B5" s="17" t="str">
        <f>IF(A5&lt;&gt;"", VLOOKUP(A5,'Danh Sách Tổng KH'!$A$1:$B$547,2,0),"")</f>
        <v>Trần Văn Leo</v>
      </c>
      <c r="C5" s="23" t="str">
        <f t="shared" si="0"/>
        <v>Chưa cho lên đơn</v>
      </c>
      <c r="D5" s="25">
        <v>200000</v>
      </c>
      <c r="E5" s="25" t="s">
        <v>86</v>
      </c>
      <c r="F5" s="26" t="s">
        <v>87</v>
      </c>
    </row>
    <row r="6" spans="1:6" ht="16.5" hidden="1">
      <c r="A6" s="12">
        <v>905252689</v>
      </c>
      <c r="B6" s="17" t="str">
        <f>IF(A6&lt;&gt;"", VLOOKUP(A6,'Danh Sách Tổng KH'!$A$1:$B$547,2,0),"")</f>
        <v>Nguyễn Hữu Vũ</v>
      </c>
      <c r="C6" s="23" t="str">
        <f t="shared" si="0"/>
        <v>Chưa cho lên đơn</v>
      </c>
      <c r="D6" s="25">
        <v>220000</v>
      </c>
      <c r="E6" s="25" t="s">
        <v>86</v>
      </c>
      <c r="F6" s="26" t="s">
        <v>87</v>
      </c>
    </row>
    <row r="7" spans="1:6" ht="16.5" hidden="1">
      <c r="A7" s="12">
        <v>907703739</v>
      </c>
      <c r="B7" s="17" t="str">
        <f>IF(A7&lt;&gt;"", VLOOKUP(A7,'Danh Sách Tổng KH'!$A$1:$B$547,2,0),"")</f>
        <v>Lê Thị Hồng Sang</v>
      </c>
      <c r="C7" s="23" t="str">
        <f t="shared" si="0"/>
        <v>Chưa cho lên đơn</v>
      </c>
      <c r="D7" s="25">
        <v>160000</v>
      </c>
      <c r="E7" s="25" t="s">
        <v>86</v>
      </c>
      <c r="F7" s="26" t="s">
        <v>87</v>
      </c>
    </row>
    <row r="8" spans="1:6" ht="16.5" hidden="1">
      <c r="A8" s="12">
        <v>939790925</v>
      </c>
      <c r="B8" s="17" t="str">
        <f>IF(A8&lt;&gt;"", VLOOKUP(A8,'Danh Sách Tổng KH'!$A$1:$B$547,2,0),"")</f>
        <v>Lê Thị Thu Thủy</v>
      </c>
      <c r="C8" s="23" t="str">
        <f t="shared" si="0"/>
        <v>Chưa cho lên đơn</v>
      </c>
      <c r="D8" s="25">
        <v>100000</v>
      </c>
      <c r="E8" s="25" t="s">
        <v>86</v>
      </c>
      <c r="F8" s="26" t="s">
        <v>87</v>
      </c>
    </row>
    <row r="9" spans="1:6" ht="16.5" hidden="1">
      <c r="A9" s="38">
        <v>909320563</v>
      </c>
      <c r="B9" s="43" t="str">
        <f>IF(A9&lt;&gt;"", VLOOKUP(A9,'Danh Sách Tổng KH'!$A$1:$B$547,2,0),"")</f>
        <v>Nguyễn Thị ái Vi</v>
      </c>
      <c r="C9" s="44" t="str">
        <f t="shared" si="0"/>
        <v>Chưa cho lên đơn</v>
      </c>
      <c r="D9" s="45">
        <v>1390000</v>
      </c>
      <c r="E9" s="45" t="s">
        <v>145</v>
      </c>
      <c r="F9" s="26" t="s">
        <v>87</v>
      </c>
    </row>
    <row r="10" spans="1:6" ht="16.5" hidden="1">
      <c r="A10" s="38">
        <v>939987111</v>
      </c>
      <c r="B10" s="43" t="str">
        <f>IF(A10&lt;&gt;"", VLOOKUP(A10,'Danh Sách Tổng KH'!$A$1:$B$547,2,0),"")</f>
        <v>Nguyễn Thái An</v>
      </c>
      <c r="C10" s="44" t="str">
        <f t="shared" si="0"/>
        <v>Chưa cho lên đơn</v>
      </c>
      <c r="D10" s="45">
        <v>1050000</v>
      </c>
      <c r="E10" s="45" t="s">
        <v>145</v>
      </c>
      <c r="F10" s="26" t="s">
        <v>87</v>
      </c>
    </row>
    <row r="11" spans="1:6" ht="16.5" hidden="1">
      <c r="A11" s="38">
        <v>787955556</v>
      </c>
      <c r="B11" s="43" t="str">
        <f>IF(A11&lt;&gt;"", VLOOKUP(A11,'Danh Sách Tổng KH'!$A$1:$B$547,2,0),"")</f>
        <v>Huỳnh Xuân Khương</v>
      </c>
      <c r="C11" s="44" t="str">
        <f t="shared" si="0"/>
        <v>Chưa cho lên đơn</v>
      </c>
      <c r="D11" s="45">
        <v>210000</v>
      </c>
      <c r="E11" s="45" t="s">
        <v>145</v>
      </c>
      <c r="F11" s="26" t="s">
        <v>87</v>
      </c>
    </row>
    <row r="12" spans="1:6" ht="16.5" hidden="1">
      <c r="A12" s="48">
        <v>902329258</v>
      </c>
      <c r="B12" s="50" t="str">
        <f>IF(A12&lt;&gt;"", VLOOKUP(A12,'Danh Sách Tổng KH'!$A$1:$B$547,2,0),"")</f>
        <v>Trần Thị Dung</v>
      </c>
      <c r="C12" s="51" t="str">
        <f t="shared" si="0"/>
        <v>Chưa cho lên đơn</v>
      </c>
      <c r="D12" s="52">
        <v>300000</v>
      </c>
      <c r="E12" s="52" t="s">
        <v>174</v>
      </c>
      <c r="F12" s="26" t="s">
        <v>87</v>
      </c>
    </row>
    <row r="13" spans="1:6" ht="16.5" hidden="1">
      <c r="A13" s="53">
        <v>763222366</v>
      </c>
      <c r="B13" s="59" t="str">
        <f>IF(A13&lt;&gt;"", VLOOKUP(A13,'Danh Sách Tổng KH'!$A$1:$B$547,2,0),"")</f>
        <v>Phan Văn Tưởng</v>
      </c>
      <c r="C13" s="60" t="str">
        <f t="shared" si="0"/>
        <v>Chưa cho lên đơn</v>
      </c>
      <c r="D13" s="63">
        <f>160000</f>
        <v>160000</v>
      </c>
      <c r="E13" s="63" t="s">
        <v>194</v>
      </c>
      <c r="F13" s="26" t="s">
        <v>87</v>
      </c>
    </row>
    <row r="14" spans="1:6" ht="16.5" hidden="1">
      <c r="A14" s="53">
        <v>702896623</v>
      </c>
      <c r="B14" s="59" t="str">
        <f>IF(A14&lt;&gt;"", VLOOKUP(A14,'Danh Sách Tổng KH'!$A$1:$B$547,2,0),"")</f>
        <v>Nguyễn Thị Cẩm Vân</v>
      </c>
      <c r="C14" s="60" t="str">
        <f t="shared" si="0"/>
        <v>Chưa cho lên đơn</v>
      </c>
      <c r="D14" s="63">
        <v>120000</v>
      </c>
      <c r="E14" s="63" t="s">
        <v>194</v>
      </c>
      <c r="F14" s="26" t="s">
        <v>87</v>
      </c>
    </row>
    <row r="15" spans="1:6" ht="16.5" hidden="1">
      <c r="A15" s="53">
        <v>939068036</v>
      </c>
      <c r="B15" s="59" t="str">
        <f>IF(A15&lt;&gt;"", VLOOKUP(A15,'Danh Sách Tổng KH'!$A$1:$B$547,2,0),"")</f>
        <v>Nguyễn Thị Trúc Phương kế út bơm cát</v>
      </c>
      <c r="C15" s="60" t="str">
        <f t="shared" si="0"/>
        <v>Chưa cho lên đơn</v>
      </c>
      <c r="D15" s="63">
        <v>150000</v>
      </c>
      <c r="E15" s="63" t="s">
        <v>194</v>
      </c>
      <c r="F15" s="26" t="s">
        <v>87</v>
      </c>
    </row>
    <row r="16" spans="1:6" ht="16.5" hidden="1">
      <c r="A16" s="53">
        <v>939890980</v>
      </c>
      <c r="B16" s="59" t="str">
        <f>IF(A16&lt;&gt;"", VLOOKUP(A16,'Danh Sách Tổng KH'!$A$1:$B$547,2,0),"")</f>
        <v>Nguyễn Thanh Hải Tuấn sắt p3</v>
      </c>
      <c r="C16" s="60" t="str">
        <f t="shared" si="0"/>
        <v>Chưa cho lên đơn</v>
      </c>
      <c r="D16" s="63">
        <v>100000</v>
      </c>
      <c r="E16" s="63" t="s">
        <v>194</v>
      </c>
      <c r="F16" s="26" t="s">
        <v>87</v>
      </c>
    </row>
    <row r="17" spans="1:6" ht="16.5" hidden="1">
      <c r="A17" s="53">
        <v>939865286</v>
      </c>
      <c r="B17" s="59" t="str">
        <f>IF(A17&lt;&gt;"", VLOOKUP(A17,'Danh Sách Tổng KH'!$A$1:$B$547,2,0),"")</f>
        <v>Lê Văn Quân hẻm yagami</v>
      </c>
      <c r="C17" s="60" t="str">
        <f t="shared" si="0"/>
        <v>Chưa cho lên đơn</v>
      </c>
      <c r="D17" s="63">
        <v>210000</v>
      </c>
      <c r="E17" s="63" t="s">
        <v>194</v>
      </c>
      <c r="F17" s="26" t="s">
        <v>87</v>
      </c>
    </row>
    <row r="18" spans="1:6" ht="16.5" hidden="1">
      <c r="A18" s="69">
        <v>937456721</v>
      </c>
      <c r="B18" s="72" t="str">
        <f>IF(A18&lt;&gt;"", VLOOKUP(A18,'Danh Sách Tổng KH'!$A$1:$B$547,2,0),"")</f>
        <v>Nguyễn Hoàng Nhật</v>
      </c>
      <c r="C18" s="73" t="str">
        <f t="shared" si="0"/>
        <v>Chưa cho lên đơn</v>
      </c>
      <c r="D18" s="74">
        <v>150000</v>
      </c>
      <c r="E18" s="74" t="s">
        <v>260</v>
      </c>
      <c r="F18" s="26" t="s">
        <v>87</v>
      </c>
    </row>
    <row r="19" spans="1:6" ht="16.5" hidden="1">
      <c r="A19" s="69">
        <v>977283949</v>
      </c>
      <c r="B19" s="72" t="str">
        <f>IF(A19&lt;&gt;"", VLOOKUP(A19,'Danh Sách Tổng KH'!$A$1:$B$547,2,0),"")</f>
        <v>Trần Thị Mộng Cầm</v>
      </c>
      <c r="C19" s="73" t="str">
        <f t="shared" si="0"/>
        <v>Chưa cho lên đơn</v>
      </c>
      <c r="D19" s="74">
        <v>230000</v>
      </c>
      <c r="E19" s="74" t="s">
        <v>260</v>
      </c>
      <c r="F19" s="26" t="s">
        <v>87</v>
      </c>
    </row>
    <row r="20" spans="1:6" ht="16.5" hidden="1">
      <c r="A20" s="69">
        <v>939359580</v>
      </c>
      <c r="B20" s="72" t="str">
        <f>IF(A20&lt;&gt;"", VLOOKUP(A20,'Danh Sách Tổng KH'!$A$1:$B$547,2,0),"")</f>
        <v>Trần Thị Mỹ Cầm</v>
      </c>
      <c r="C20" s="73" t="str">
        <f t="shared" si="0"/>
        <v>Chưa cho lên đơn</v>
      </c>
      <c r="D20" s="74">
        <v>260000</v>
      </c>
      <c r="E20" s="74" t="s">
        <v>260</v>
      </c>
      <c r="F20" s="26" t="s">
        <v>87</v>
      </c>
    </row>
    <row r="21" spans="1:6" ht="16.5" hidden="1">
      <c r="A21" s="69">
        <v>907306169</v>
      </c>
      <c r="B21" s="72" t="str">
        <f>IF(A21&lt;&gt;"", VLOOKUP(A21,'Danh Sách Tổng KH'!$A$1:$B$547,2,0),"")</f>
        <v>Nguyễn Thị Phẩm</v>
      </c>
      <c r="C21" s="73" t="str">
        <f t="shared" si="0"/>
        <v>Chưa cho lên đơn</v>
      </c>
      <c r="D21" s="74">
        <v>100000</v>
      </c>
      <c r="E21" s="74" t="s">
        <v>260</v>
      </c>
      <c r="F21" s="26" t="s">
        <v>87</v>
      </c>
    </row>
    <row r="22" spans="1:6" ht="16.5" hidden="1">
      <c r="A22" s="69">
        <v>788975319</v>
      </c>
      <c r="B22" s="72" t="str">
        <f>IF(A22&lt;&gt;"", VLOOKUP(A22,'Danh Sách Tổng KH'!$A$1:$B$547,2,0),"")</f>
        <v>Trần Minh Vũ nhà xe Huệ</v>
      </c>
      <c r="C22" s="73" t="str">
        <f t="shared" si="0"/>
        <v>Chưa cho lên đơn</v>
      </c>
      <c r="D22" s="74">
        <v>110000</v>
      </c>
      <c r="E22" s="74" t="s">
        <v>260</v>
      </c>
      <c r="F22" s="26" t="s">
        <v>87</v>
      </c>
    </row>
    <row r="23" spans="1:6" ht="16.5" hidden="1">
      <c r="A23" s="79">
        <v>703999709</v>
      </c>
      <c r="B23" s="82" t="str">
        <f>IF(A23&lt;&gt;"", VLOOKUP(A23,'Danh Sách Tổng KH'!$A$1:$B$547,2,0),"")</f>
        <v>Nguyễn Hoàng Tâm Hạnh wile</v>
      </c>
      <c r="C23" s="84" t="str">
        <f t="shared" si="0"/>
        <v>Chưa cho lên đơn</v>
      </c>
      <c r="D23" s="85">
        <v>240000</v>
      </c>
      <c r="E23" s="85" t="s">
        <v>316</v>
      </c>
      <c r="F23" s="26" t="s">
        <v>87</v>
      </c>
    </row>
    <row r="24" spans="1:6" ht="16.5" hidden="1">
      <c r="A24" s="79">
        <v>937598199</v>
      </c>
      <c r="B24" s="82" t="str">
        <f>IF(A24&lt;&gt;"", VLOOKUP(A24,'Danh Sách Tổng KH'!$A$1:$B$547,2,0),"")</f>
        <v>Phạm Thị Hồng Gấm công viên mậu thân</v>
      </c>
      <c r="C24" s="84" t="str">
        <f t="shared" si="0"/>
        <v>Chưa cho lên đơn</v>
      </c>
      <c r="D24" s="85">
        <v>170000</v>
      </c>
      <c r="E24" s="85" t="s">
        <v>316</v>
      </c>
      <c r="F24" s="26" t="s">
        <v>87</v>
      </c>
    </row>
    <row r="25" spans="1:6" ht="16.5" hidden="1">
      <c r="A25" s="79">
        <v>907982798</v>
      </c>
      <c r="B25" s="82" t="str">
        <f>IF(A25&lt;&gt;"", VLOOKUP(A25,'Danh Sách Tổng KH'!$A$1:$B$547,2,0),"")</f>
        <v>Trần Ánh Ngọc zalo Nguyễn Phước Thiện</v>
      </c>
      <c r="C25" s="84" t="str">
        <f t="shared" si="0"/>
        <v>Chưa cho lên đơn</v>
      </c>
      <c r="D25" s="85">
        <v>150000</v>
      </c>
      <c r="E25" s="85" t="s">
        <v>316</v>
      </c>
      <c r="F25" s="26" t="s">
        <v>87</v>
      </c>
    </row>
    <row r="26" spans="1:6" ht="16.5" hidden="1">
      <c r="A26" s="79">
        <v>907989874</v>
      </c>
      <c r="B26" s="82" t="str">
        <f>IF(A26&lt;&gt;"", VLOOKUP(A26,'Danh Sách Tổng KH'!$A$1:$B$547,2,0),"")</f>
        <v>Lâm Sơn Hiếu</v>
      </c>
      <c r="C26" s="84" t="str">
        <f t="shared" si="0"/>
        <v>Chưa cho lên đơn</v>
      </c>
      <c r="D26" s="85">
        <v>120000</v>
      </c>
      <c r="E26" s="85" t="s">
        <v>316</v>
      </c>
      <c r="F26" s="26" t="s">
        <v>87</v>
      </c>
    </row>
    <row r="27" spans="1:6" ht="16.5" hidden="1">
      <c r="A27" s="79">
        <v>786086878</v>
      </c>
      <c r="B27" s="82" t="str">
        <f>IF(A27&lt;&gt;"", VLOOKUP(A27,'Danh Sách Tổng KH'!$A$1:$B$547,2,0),"")</f>
        <v>Nguyễn Ngọc Tuyết Lan</v>
      </c>
      <c r="C27" s="84" t="str">
        <f t="shared" si="0"/>
        <v>Chưa cho lên đơn</v>
      </c>
      <c r="D27" s="85">
        <v>100000</v>
      </c>
      <c r="E27" s="85" t="s">
        <v>316</v>
      </c>
      <c r="F27" s="26" t="s">
        <v>87</v>
      </c>
    </row>
    <row r="28" spans="1:6" ht="16.5" hidden="1">
      <c r="A28" s="79">
        <v>901009096</v>
      </c>
      <c r="B28" s="82" t="str">
        <f>IF(A28&lt;&gt;"", VLOOKUP(A28,'Danh Sách Tổng KH'!$A$1:$B$547,2,0),"")</f>
        <v>Phạm Phước Đấu</v>
      </c>
      <c r="C28" s="84" t="str">
        <f t="shared" si="0"/>
        <v>Chưa cho lên đơn</v>
      </c>
      <c r="D28" s="85">
        <v>150000</v>
      </c>
      <c r="E28" s="85" t="s">
        <v>316</v>
      </c>
      <c r="F28" s="26" t="s">
        <v>87</v>
      </c>
    </row>
    <row r="29" spans="1:6" ht="16.5" hidden="1">
      <c r="A29" s="79">
        <v>899507261</v>
      </c>
      <c r="B29" s="82" t="str">
        <f>IF(A29&lt;&gt;"", VLOOKUP(A29,'Danh Sách Tổng KH'!$A$1:$B$547,2,0),"")</f>
        <v>Nguyễn Thị Mỹ Ngọc</v>
      </c>
      <c r="C29" s="84" t="str">
        <f t="shared" si="0"/>
        <v>Chưa cho lên đơn</v>
      </c>
      <c r="D29" s="85">
        <v>100000</v>
      </c>
      <c r="E29" s="85" t="s">
        <v>316</v>
      </c>
      <c r="F29" s="26" t="s">
        <v>87</v>
      </c>
    </row>
    <row r="30" spans="1:6" ht="16.5" hidden="1">
      <c r="A30" s="79">
        <v>793989226</v>
      </c>
      <c r="B30" s="82" t="str">
        <f>IF(A30&lt;&gt;"", VLOOKUP(A30,'Danh Sách Tổng KH'!$A$1:$B$547,2,0),"")</f>
        <v>Trần Trương Phương Trang biotic</v>
      </c>
      <c r="C30" s="84" t="str">
        <f t="shared" si="0"/>
        <v>Chưa cho lên đơn</v>
      </c>
      <c r="D30" s="85">
        <v>100000</v>
      </c>
      <c r="E30" s="85" t="s">
        <v>316</v>
      </c>
      <c r="F30" s="26" t="s">
        <v>87</v>
      </c>
    </row>
    <row r="31" spans="1:6" ht="16.5" hidden="1">
      <c r="A31" s="99">
        <v>939969498</v>
      </c>
      <c r="B31" s="100" t="str">
        <f>IF(A31&lt;&gt;"", VLOOKUP(A31,'Danh Sách Tổng KH'!$A$1:$B$547,2,0),"")</f>
        <v>HỘ KINH DOANH RIO</v>
      </c>
      <c r="C31" s="101" t="str">
        <f t="shared" si="0"/>
        <v>Chưa cho lên đơn</v>
      </c>
      <c r="D31" s="102">
        <v>260000</v>
      </c>
      <c r="E31" s="102" t="s">
        <v>382</v>
      </c>
      <c r="F31" s="26" t="s">
        <v>87</v>
      </c>
    </row>
    <row r="32" spans="1:6" ht="16.5" hidden="1">
      <c r="A32" s="99">
        <v>907646875</v>
      </c>
      <c r="B32" s="100" t="str">
        <f>IF(A32&lt;&gt;"", VLOOKUP(A32,'Danh Sách Tổng KH'!$A$1:$B$547,2,0),"")</f>
        <v>Nguyễn Thị Đan Thanh</v>
      </c>
      <c r="C32" s="101" t="str">
        <f t="shared" si="0"/>
        <v>Chưa cho lên đơn</v>
      </c>
      <c r="D32" s="102">
        <v>270000</v>
      </c>
      <c r="E32" s="102" t="s">
        <v>382</v>
      </c>
      <c r="F32" s="26" t="s">
        <v>87</v>
      </c>
    </row>
    <row r="33" spans="1:6" ht="16.5" hidden="1">
      <c r="A33" s="99">
        <v>777292268</v>
      </c>
      <c r="B33" s="100" t="str">
        <f>IF(A33&lt;&gt;"", VLOOKUP(A33,'Danh Sách Tổng KH'!$A$1:$B$547,2,0),"")</f>
        <v>Nguyễn Thị Đan Thanh</v>
      </c>
      <c r="C33" s="101" t="str">
        <f t="shared" si="0"/>
        <v>Chưa cho lên đơn</v>
      </c>
      <c r="D33" s="102">
        <v>100000</v>
      </c>
      <c r="E33" s="102" t="s">
        <v>382</v>
      </c>
      <c r="F33" s="26" t="s">
        <v>87</v>
      </c>
    </row>
    <row r="34" spans="1:6" ht="16.5" hidden="1">
      <c r="A34" s="99">
        <v>766829789</v>
      </c>
      <c r="B34" s="100" t="str">
        <f>IF(A34&lt;&gt;"", VLOOKUP(A34,'Danh Sách Tổng KH'!$A$1:$B$547,2,0),"")</f>
        <v>Nguyễn Phú Quí hẻm anh Thành sửa xe LP</v>
      </c>
      <c r="C34" s="101" t="str">
        <f t="shared" si="0"/>
        <v>Chưa cho lên đơn</v>
      </c>
      <c r="D34" s="102">
        <v>160000</v>
      </c>
      <c r="E34" s="102" t="s">
        <v>382</v>
      </c>
      <c r="F34" s="26" t="s">
        <v>87</v>
      </c>
    </row>
    <row r="35" spans="1:6" ht="16.5" hidden="1">
      <c r="A35" s="99">
        <v>939930030</v>
      </c>
      <c r="B35" s="100" t="str">
        <f>IF(A35&lt;&gt;"", VLOOKUP(A35,'Danh Sách Tổng KH'!$A$1:$B$547,2,0),"")</f>
        <v>Nguyễn Phúc Thiện</v>
      </c>
      <c r="C35" s="101" t="str">
        <f t="shared" si="0"/>
        <v>Chưa cho lên đơn</v>
      </c>
      <c r="D35" s="102">
        <v>100000</v>
      </c>
      <c r="E35" s="102" t="s">
        <v>382</v>
      </c>
      <c r="F35" s="26" t="s">
        <v>87</v>
      </c>
    </row>
    <row r="36" spans="1:6" ht="16.5" hidden="1">
      <c r="A36" s="99">
        <v>907101268</v>
      </c>
      <c r="B36" s="100" t="str">
        <f>IF(A36&lt;&gt;"", VLOOKUP(A36,'Danh Sách Tổng KH'!$A$1:$B$547,2,0),"")</f>
        <v>Trần Quốc Đạt</v>
      </c>
      <c r="C36" s="101" t="str">
        <f t="shared" si="0"/>
        <v>Chưa cho lên đơn</v>
      </c>
      <c r="D36" s="102">
        <v>150000</v>
      </c>
      <c r="E36" s="102" t="s">
        <v>382</v>
      </c>
      <c r="F36" s="26" t="s">
        <v>87</v>
      </c>
    </row>
    <row r="37" spans="1:6" ht="16.5" hidden="1">
      <c r="A37" s="99">
        <v>939318308</v>
      </c>
      <c r="B37" s="100" t="str">
        <f>IF(A37&lt;&gt;"", VLOOKUP(A37,'Danh Sách Tổng KH'!$A$1:$B$547,2,0),"")</f>
        <v>Nguyễn Trần Phước Thịnh</v>
      </c>
      <c r="C37" s="101" t="str">
        <f t="shared" si="0"/>
        <v>Chưa cho lên đơn</v>
      </c>
      <c r="D37" s="102">
        <v>160000</v>
      </c>
      <c r="E37" s="102" t="s">
        <v>382</v>
      </c>
      <c r="F37" s="26" t="s">
        <v>87</v>
      </c>
    </row>
    <row r="38" spans="1:6" ht="16.5" hidden="1">
      <c r="A38" s="107">
        <v>907917191</v>
      </c>
      <c r="B38" s="108" t="str">
        <f>IF(A38&lt;&gt;"", VLOOKUP(A38,'Danh Sách Tổng KH'!$A$1:$B$547,2,0),"")</f>
        <v>Phan Thành Long</v>
      </c>
      <c r="C38" s="109" t="str">
        <f t="shared" si="0"/>
        <v>Chưa cho lên đơn</v>
      </c>
      <c r="D38" s="110">
        <v>210000</v>
      </c>
      <c r="E38" s="110"/>
      <c r="F38" s="26"/>
    </row>
    <row r="39" spans="1:6" ht="16.5" hidden="1">
      <c r="A39" s="107">
        <v>762952593</v>
      </c>
      <c r="B39" s="108" t="str">
        <f>IF(A39&lt;&gt;"", VLOOKUP(A39,'Danh Sách Tổng KH'!$A$1:$B$547,2,0),"")</f>
        <v>Tạ Ánh Nguyệt</v>
      </c>
      <c r="C39" s="109" t="str">
        <f t="shared" si="0"/>
        <v>Chưa cho lên đơn</v>
      </c>
      <c r="D39" s="110">
        <v>100000</v>
      </c>
      <c r="E39" s="110"/>
      <c r="F39" s="26"/>
    </row>
    <row r="40" spans="1:6" ht="16.5" hidden="1">
      <c r="A40" s="107">
        <v>932812977</v>
      </c>
      <c r="B40" s="108" t="str">
        <f>IF(A40&lt;&gt;"", VLOOKUP(A40,'Danh Sách Tổng KH'!$A$1:$B$547,2,0),"")</f>
        <v>Ngô Hồng Diệp</v>
      </c>
      <c r="C40" s="109" t="str">
        <f t="shared" si="0"/>
        <v>Chưa cho lên đơn</v>
      </c>
      <c r="D40" s="110">
        <v>150000</v>
      </c>
      <c r="E40" s="110"/>
      <c r="F40" s="26"/>
    </row>
    <row r="41" spans="1:6" ht="16.5" hidden="1">
      <c r="A41" s="107">
        <v>907570775</v>
      </c>
      <c r="B41" s="108" t="str">
        <f>IF(A41&lt;&gt;"", VLOOKUP(A41,'Danh Sách Tổng KH'!$A$1:$B$547,2,0),"")</f>
        <v>Trần Hoàng Phúc suối mơ p5</v>
      </c>
      <c r="C41" s="109" t="str">
        <f t="shared" si="0"/>
        <v>Chưa cho lên đơn</v>
      </c>
      <c r="D41" s="110">
        <v>180000</v>
      </c>
      <c r="E41" s="110"/>
      <c r="F41" s="26"/>
    </row>
    <row r="42" spans="1:6" ht="16.5" hidden="1">
      <c r="A42" s="107">
        <v>939284004</v>
      </c>
      <c r="B42" s="108" t="str">
        <f>IF(A42&lt;&gt;"", VLOOKUP(A42,'Danh Sách Tổng KH'!$A$1:$B$547,2,0),"")</f>
        <v>Công Ty Trách Nhiệm Hữu Hạn Lê Kim</v>
      </c>
      <c r="C42" s="109" t="str">
        <f t="shared" si="0"/>
        <v>Chưa cho lên đơn</v>
      </c>
      <c r="D42" s="110">
        <v>50000</v>
      </c>
      <c r="E42" s="110"/>
      <c r="F42" s="26"/>
    </row>
    <row r="43" spans="1:6" ht="16.5" hidden="1">
      <c r="A43" s="107">
        <v>909244004</v>
      </c>
      <c r="B43" s="108" t="str">
        <f>IF(A43&lt;&gt;"", VLOOKUP(A43,'Danh Sách Tổng KH'!$A$1:$B$547,2,0),"")</f>
        <v>Công Ty Trách Nhiệm Hữu Hạn Lê Kim</v>
      </c>
      <c r="C43" s="109" t="str">
        <f t="shared" si="0"/>
        <v>Chưa cho lên đơn</v>
      </c>
      <c r="D43" s="110">
        <v>50000</v>
      </c>
      <c r="E43" s="110"/>
      <c r="F43" s="26"/>
    </row>
    <row r="44" spans="1:6" ht="16.5" hidden="1">
      <c r="A44" s="107">
        <v>901244004</v>
      </c>
      <c r="B44" s="108" t="str">
        <f>IF(A44&lt;&gt;"", VLOOKUP(A44,'Danh Sách Tổng KH'!$A$1:$B$547,2,0),"")</f>
        <v>Công Ty Trách Nhiệm Hữu Hạn Lê Kim</v>
      </c>
      <c r="C44" s="109" t="str">
        <f t="shared" si="0"/>
        <v>Chưa cho lên đơn</v>
      </c>
      <c r="D44" s="110">
        <v>210000</v>
      </c>
      <c r="E44" s="110"/>
      <c r="F44" s="26"/>
    </row>
    <row r="45" spans="1:6" ht="16.5" hidden="1">
      <c r="A45" s="107">
        <v>939586066</v>
      </c>
      <c r="B45" s="108" t="str">
        <f>IF(A45&lt;&gt;"", VLOOKUP(A45,'Danh Sách Tổng KH'!$A$1:$B$547,2,0),"")</f>
        <v>Nguyễn Thị Quỳnh Anh ban dân tộc</v>
      </c>
      <c r="C45" s="109" t="str">
        <f t="shared" si="0"/>
        <v>Chưa cho lên đơn</v>
      </c>
      <c r="D45" s="110">
        <v>150000</v>
      </c>
      <c r="E45" s="110"/>
      <c r="F45" s="26"/>
    </row>
    <row r="46" spans="1:6" ht="16.5" hidden="1">
      <c r="A46" s="107">
        <v>939068963</v>
      </c>
      <c r="B46" s="108" t="str">
        <f>IF(A46&lt;&gt;"", VLOOKUP(A46,'Danh Sách Tổng KH'!$A$1:$B$547,2,0),"")</f>
        <v>Nguyễn Thị Hồng Cúc bãi cọc cầu tân hữu mới</v>
      </c>
      <c r="C46" s="109" t="str">
        <f t="shared" si="0"/>
        <v>Chưa cho lên đơn</v>
      </c>
      <c r="D46" s="110">
        <v>90000</v>
      </c>
      <c r="E46" s="110"/>
      <c r="F46" s="26"/>
    </row>
    <row r="47" spans="1:6" ht="16.5" hidden="1">
      <c r="A47" s="107">
        <v>939637899</v>
      </c>
      <c r="B47" s="108" t="str">
        <f>IF(A47&lt;&gt;"", VLOOKUP(A47,'Danh Sách Tổng KH'!$A$1:$B$547,2,0),"")</f>
        <v>Trần Phương Trang</v>
      </c>
      <c r="C47" s="109" t="str">
        <f t="shared" si="0"/>
        <v>Chưa cho lên đơn</v>
      </c>
      <c r="D47" s="110">
        <v>210000</v>
      </c>
      <c r="E47" s="110"/>
      <c r="F47" s="26"/>
    </row>
    <row r="48" spans="1:6" ht="16.5" hidden="1">
      <c r="A48" s="116">
        <v>704797978</v>
      </c>
      <c r="B48" s="117" t="str">
        <f>IF(A48&lt;&gt;"", VLOOKUP(A48,'Danh Sách Tổng KH'!$A$1:$B$547,2,0),"")</f>
        <v>Võ Văn Kiệt</v>
      </c>
      <c r="C48" s="118" t="str">
        <f t="shared" si="0"/>
        <v>Chưa cho lên đơn</v>
      </c>
      <c r="D48" s="119">
        <v>100000</v>
      </c>
      <c r="E48" s="119" t="s">
        <v>86</v>
      </c>
      <c r="F48" s="26" t="s">
        <v>87</v>
      </c>
    </row>
    <row r="49" spans="1:6" ht="16.5" hidden="1">
      <c r="A49" s="116">
        <v>907880007</v>
      </c>
      <c r="B49" s="117" t="str">
        <f>IF(A49&lt;&gt;"", VLOOKUP(A49,'Danh Sách Tổng KH'!$A$1:$B$547,2,0),"")</f>
        <v>Võ Văn Kiệt</v>
      </c>
      <c r="C49" s="118" t="str">
        <f t="shared" si="0"/>
        <v>Chưa cho lên đơn</v>
      </c>
      <c r="D49" s="119">
        <v>250000</v>
      </c>
      <c r="E49" s="119" t="s">
        <v>86</v>
      </c>
      <c r="F49" s="26" t="s">
        <v>87</v>
      </c>
    </row>
    <row r="50" spans="1:6" ht="16.5" hidden="1">
      <c r="A50" s="107">
        <v>776505199</v>
      </c>
      <c r="B50" s="108" t="str">
        <f>IF(A50&lt;&gt;"", VLOOKUP(A50,'Danh Sách Tổng KH'!$A$1:$B$547,2,0),"")</f>
        <v>Phạm Thị Mỹ Ái</v>
      </c>
      <c r="C50" s="109" t="str">
        <f t="shared" si="0"/>
        <v>Chưa cho lên đơn</v>
      </c>
      <c r="D50" s="110">
        <v>200000</v>
      </c>
      <c r="E50" s="110" t="s">
        <v>174</v>
      </c>
      <c r="F50" s="121" t="s">
        <v>87</v>
      </c>
    </row>
    <row r="51" spans="1:6" ht="16.5" hidden="1">
      <c r="A51" s="107">
        <v>907646875</v>
      </c>
      <c r="B51" s="108" t="str">
        <f>IF(A51&lt;&gt;"", VLOOKUP(A51,'Danh Sách Tổng KH'!$A$1:$B$547,2,0),"")</f>
        <v>Nguyễn Thị Đan Thanh</v>
      </c>
      <c r="C51" s="109" t="str">
        <f t="shared" si="0"/>
        <v>Chưa cho lên đơn</v>
      </c>
      <c r="D51" s="110">
        <v>270000</v>
      </c>
      <c r="E51" s="110" t="s">
        <v>174</v>
      </c>
      <c r="F51" s="121" t="s">
        <v>87</v>
      </c>
    </row>
    <row r="52" spans="1:6" ht="16.5" hidden="1">
      <c r="A52" s="107">
        <v>937456721</v>
      </c>
      <c r="B52" s="108" t="str">
        <f>IF(A52&lt;&gt;"", VLOOKUP(A52,'Danh Sách Tổng KH'!$A$1:$B$547,2,0),"")</f>
        <v>Nguyễn Hoàng Nhật</v>
      </c>
      <c r="C52" s="109" t="str">
        <f t="shared" si="0"/>
        <v>Chưa cho lên đơn</v>
      </c>
      <c r="D52" s="110">
        <v>260000</v>
      </c>
      <c r="E52" s="110" t="s">
        <v>194</v>
      </c>
      <c r="F52" s="121" t="s">
        <v>87</v>
      </c>
    </row>
    <row r="53" spans="1:6" ht="16.5" hidden="1">
      <c r="A53" s="107">
        <v>939890980</v>
      </c>
      <c r="B53" s="108" t="str">
        <f>IF(A53&lt;&gt;"", VLOOKUP(A53,'Danh Sách Tổng KH'!$A$1:$B$547,2,0),"")</f>
        <v>Nguyễn Thanh Hải Tuấn sắt p3</v>
      </c>
      <c r="C53" s="109" t="str">
        <f t="shared" si="0"/>
        <v>Chưa cho lên đơn</v>
      </c>
      <c r="D53" s="110">
        <v>100000</v>
      </c>
      <c r="E53" s="110" t="s">
        <v>194</v>
      </c>
      <c r="F53" s="121" t="s">
        <v>87</v>
      </c>
    </row>
    <row r="54" spans="1:6" ht="16.5" hidden="1">
      <c r="A54" s="107">
        <v>977283949</v>
      </c>
      <c r="B54" s="108" t="str">
        <f>IF(A54&lt;&gt;"", VLOOKUP(A54,'Danh Sách Tổng KH'!$A$1:$B$547,2,0),"")</f>
        <v>Trần Thị Mộng Cầm</v>
      </c>
      <c r="C54" s="109" t="str">
        <f t="shared" si="0"/>
        <v>Chưa cho lên đơn</v>
      </c>
      <c r="D54" s="110">
        <v>200000</v>
      </c>
      <c r="E54" s="110" t="s">
        <v>260</v>
      </c>
      <c r="F54" s="121" t="s">
        <v>87</v>
      </c>
    </row>
    <row r="55" spans="1:6" ht="16.5" hidden="1">
      <c r="A55" s="107">
        <v>939359580</v>
      </c>
      <c r="B55" s="108" t="str">
        <f>IF(A55&lt;&gt;"", VLOOKUP(A55,'Danh Sách Tổng KH'!$A$1:$B$547,2,0),"")</f>
        <v>Trần Thị Mỹ Cầm</v>
      </c>
      <c r="C55" s="109" t="str">
        <f t="shared" si="0"/>
        <v>Chưa cho lên đơn</v>
      </c>
      <c r="D55" s="110">
        <v>260000</v>
      </c>
      <c r="E55" s="110" t="s">
        <v>260</v>
      </c>
      <c r="F55" s="121" t="s">
        <v>87</v>
      </c>
    </row>
    <row r="56" spans="1:6" ht="16.5" hidden="1">
      <c r="A56" s="107">
        <v>907101268</v>
      </c>
      <c r="B56" s="108" t="str">
        <f>IF(A56&lt;&gt;"", VLOOKUP(A56,'Danh Sách Tổng KH'!$A$1:$B$547,2,0),"")</f>
        <v>Trần Quốc Đạt</v>
      </c>
      <c r="C56" s="109" t="str">
        <f t="shared" si="0"/>
        <v>Chưa cho lên đơn</v>
      </c>
      <c r="D56" s="110">
        <v>150000</v>
      </c>
      <c r="E56" s="110" t="s">
        <v>260</v>
      </c>
      <c r="F56" s="121" t="s">
        <v>87</v>
      </c>
    </row>
    <row r="57" spans="1:6" ht="16.5" hidden="1">
      <c r="A57" s="107">
        <v>939068963</v>
      </c>
      <c r="B57" s="108" t="str">
        <f>IF(A57&lt;&gt;"", VLOOKUP(A57,'Danh Sách Tổng KH'!$A$1:$B$547,2,0),"")</f>
        <v>Nguyễn Thị Hồng Cúc bãi cọc cầu tân hữu mới</v>
      </c>
      <c r="C57" s="109" t="str">
        <f t="shared" si="0"/>
        <v>Chưa cho lên đơn</v>
      </c>
      <c r="D57" s="110">
        <v>100000</v>
      </c>
      <c r="E57" s="110" t="s">
        <v>260</v>
      </c>
      <c r="F57" s="121" t="s">
        <v>87</v>
      </c>
    </row>
    <row r="58" spans="1:6" ht="16.5" hidden="1">
      <c r="A58" s="107">
        <v>939618156</v>
      </c>
      <c r="B58" s="108" t="str">
        <f>IF(A58&lt;&gt;"", VLOOKUP(A58,'Danh Sách Tổng KH'!$A$1:$B$547,2,0),"")</f>
        <v>Lữ Ngọc Thảo</v>
      </c>
      <c r="C58" s="109" t="str">
        <f t="shared" si="0"/>
        <v>Chưa cho lên đơn</v>
      </c>
      <c r="D58" s="110">
        <v>220000</v>
      </c>
      <c r="E58" s="110" t="s">
        <v>316</v>
      </c>
      <c r="F58" s="121" t="s">
        <v>87</v>
      </c>
    </row>
    <row r="59" spans="1:6" ht="16.5" hidden="1">
      <c r="A59" s="107">
        <v>907989874</v>
      </c>
      <c r="B59" s="108" t="str">
        <f>IF(A59&lt;&gt;"", VLOOKUP(A59,'Danh Sách Tổng KH'!$A$1:$B$547,2,0),"")</f>
        <v>Lâm Sơn Hiếu</v>
      </c>
      <c r="C59" s="109" t="str">
        <f t="shared" si="0"/>
        <v>Chưa cho lên đơn</v>
      </c>
      <c r="D59" s="110">
        <v>100000</v>
      </c>
      <c r="E59" s="110" t="s">
        <v>316</v>
      </c>
      <c r="F59" s="121" t="s">
        <v>87</v>
      </c>
    </row>
    <row r="60" spans="1:6" ht="16.5" hidden="1">
      <c r="A60" s="107">
        <v>939969498</v>
      </c>
      <c r="B60" s="108" t="str">
        <f>IF(A60&lt;&gt;"", VLOOKUP(A60,'Danh Sách Tổng KH'!$A$1:$B$547,2,0),"")</f>
        <v>HỘ KINH DOANH RIO</v>
      </c>
      <c r="C60" s="109" t="str">
        <f t="shared" si="0"/>
        <v>Chưa cho lên đơn</v>
      </c>
      <c r="D60" s="110">
        <v>260000</v>
      </c>
      <c r="E60" s="110" t="s">
        <v>316</v>
      </c>
      <c r="F60" s="121" t="s">
        <v>87</v>
      </c>
    </row>
    <row r="61" spans="1:6" ht="16.5" hidden="1">
      <c r="A61" s="107">
        <v>939930030</v>
      </c>
      <c r="B61" s="108" t="str">
        <f>IF(A61&lt;&gt;"", VLOOKUP(A61,'Danh Sách Tổng KH'!$A$1:$B$547,2,0),"")</f>
        <v>Nguyễn Phúc Thiện</v>
      </c>
      <c r="C61" s="109" t="str">
        <f t="shared" si="0"/>
        <v>Chưa cho lên đơn</v>
      </c>
      <c r="D61" s="110">
        <v>150000</v>
      </c>
      <c r="E61" s="110" t="s">
        <v>316</v>
      </c>
      <c r="F61" s="121" t="s">
        <v>87</v>
      </c>
    </row>
    <row r="62" spans="1:6" ht="16.5" hidden="1">
      <c r="A62" s="107">
        <v>899507261</v>
      </c>
      <c r="B62" s="108" t="str">
        <f>IF(A62&lt;&gt;"", VLOOKUP(A62,'Danh Sách Tổng KH'!$A$1:$B$547,2,0),"")</f>
        <v>Nguyễn Thị Mỹ Ngọc</v>
      </c>
      <c r="C62" s="109" t="str">
        <f t="shared" si="0"/>
        <v>Chưa cho lên đơn</v>
      </c>
      <c r="D62" s="110">
        <v>100000</v>
      </c>
      <c r="E62" s="110" t="s">
        <v>316</v>
      </c>
      <c r="F62" s="121" t="s">
        <v>87</v>
      </c>
    </row>
    <row r="63" spans="1:6" ht="16.5" hidden="1">
      <c r="A63" s="107">
        <v>939563439</v>
      </c>
      <c r="B63" s="108" t="str">
        <f>IF(A63&lt;&gt;"", VLOOKUP(A63,'Danh Sách Tổng KH'!$A$1:$B$547,2,0),"")</f>
        <v>Trân nguyen thanh nam</v>
      </c>
      <c r="C63" s="109" t="str">
        <f t="shared" si="0"/>
        <v>Chưa cho lên đơn</v>
      </c>
      <c r="D63" s="110">
        <v>250000</v>
      </c>
      <c r="E63" s="110"/>
      <c r="F63" s="26"/>
    </row>
    <row r="64" spans="1:6" ht="16.5" hidden="1">
      <c r="A64" s="107">
        <v>769391939</v>
      </c>
      <c r="B64" s="108" t="str">
        <f>IF(A64&lt;&gt;"", VLOOKUP(A64,'Danh Sách Tổng KH'!$A$1:$B$547,2,0),"")</f>
        <v>Phạm Phước Đấu</v>
      </c>
      <c r="C64" s="109" t="str">
        <f t="shared" si="0"/>
        <v>Chưa cho lên đơn</v>
      </c>
      <c r="D64" s="110">
        <v>110000</v>
      </c>
      <c r="E64" s="110"/>
      <c r="F64" s="26"/>
    </row>
    <row r="65" spans="1:6" ht="16.5" hidden="1">
      <c r="A65" s="107">
        <v>901009096</v>
      </c>
      <c r="B65" s="108" t="str">
        <f>IF(A65&lt;&gt;"", VLOOKUP(A65,'Danh Sách Tổng KH'!$A$1:$B$547,2,0),"")</f>
        <v>Phạm Phước Đấu</v>
      </c>
      <c r="C65" s="109" t="str">
        <f t="shared" si="0"/>
        <v>Chưa cho lên đơn</v>
      </c>
      <c r="D65" s="110">
        <v>180000</v>
      </c>
      <c r="E65" s="110"/>
      <c r="F65" s="26"/>
    </row>
    <row r="66" spans="1:6" ht="16.5" hidden="1">
      <c r="A66" s="107">
        <v>777292268</v>
      </c>
      <c r="B66" s="108" t="str">
        <f>IF(A66&lt;&gt;"", VLOOKUP(A66,'Danh Sách Tổng KH'!$A$1:$B$547,2,0),"")</f>
        <v>Nguyễn Thị Đan Thanh</v>
      </c>
      <c r="C66" s="109" t="str">
        <f t="shared" si="0"/>
        <v>Chưa cho lên đơn</v>
      </c>
      <c r="D66" s="110">
        <v>110000</v>
      </c>
      <c r="E66" s="110"/>
      <c r="F66" s="26"/>
    </row>
    <row r="67" spans="1:6" ht="16.5" hidden="1">
      <c r="A67" s="107">
        <v>907917191</v>
      </c>
      <c r="B67" s="108" t="str">
        <f>IF(A67&lt;&gt;"", VLOOKUP(A67,'Danh Sách Tổng KH'!$A$1:$B$547,2,0),"")</f>
        <v>Phan Thành Long</v>
      </c>
      <c r="C67" s="109" t="str">
        <f t="shared" si="0"/>
        <v>Chưa cho lên đơn</v>
      </c>
      <c r="D67" s="110">
        <v>220000</v>
      </c>
      <c r="E67" s="110"/>
      <c r="F67" s="26"/>
    </row>
    <row r="68" spans="1:6" ht="16.5" hidden="1">
      <c r="A68" s="107">
        <v>766829789</v>
      </c>
      <c r="B68" s="108" t="str">
        <f>IF(A68&lt;&gt;"", VLOOKUP(A68,'Danh Sách Tổng KH'!$A$1:$B$547,2,0),"")</f>
        <v>Nguyễn Phú Quí hẻm anh Thành sửa xe LP</v>
      </c>
      <c r="C68" s="109" t="str">
        <f t="shared" si="0"/>
        <v>Chưa cho lên đơn</v>
      </c>
      <c r="D68" s="110">
        <v>160000</v>
      </c>
      <c r="E68" s="110"/>
      <c r="F68" s="26"/>
    </row>
    <row r="69" spans="1:6" ht="16.5" hidden="1">
      <c r="A69" s="107">
        <v>787976362</v>
      </c>
      <c r="B69" s="108" t="str">
        <f>IF(A69&lt;&gt;"", VLOOKUP(A69,'Danh Sách Tổng KH'!$A$1:$B$547,2,0),"")</f>
        <v>Nguyễn Tuấn Tài</v>
      </c>
      <c r="C69" s="109" t="str">
        <f t="shared" si="0"/>
        <v>Chưa cho lên đơn</v>
      </c>
      <c r="D69" s="110">
        <v>150000</v>
      </c>
      <c r="E69" s="110"/>
    </row>
    <row r="70" spans="1:6" ht="16.5" hidden="1">
      <c r="A70" s="107">
        <v>776505199</v>
      </c>
      <c r="B70" s="108" t="str">
        <f>IF(A70&lt;&gt;"", VLOOKUP(A70,'Danh Sách Tổng KH'!$A$1:$B$547,2,0),"")</f>
        <v>Phạm Thị Mỹ Ái</v>
      </c>
      <c r="C70" s="109" t="str">
        <f t="shared" si="0"/>
        <v>Chưa cho lên đơn</v>
      </c>
      <c r="D70" s="110">
        <v>160000</v>
      </c>
      <c r="E70" s="110" t="s">
        <v>86</v>
      </c>
      <c r="F70" s="10" t="s">
        <v>87</v>
      </c>
    </row>
    <row r="71" spans="1:6" ht="16.5" hidden="1">
      <c r="A71" s="107">
        <v>704116115</v>
      </c>
      <c r="B71" s="108" t="str">
        <f>IF(A71&lt;&gt;"", VLOOKUP(A71,'Danh Sách Tổng KH'!$A$1:$B$547,2,0),"")</f>
        <v>Phan Văn Thu</v>
      </c>
      <c r="C71" s="109" t="str">
        <f t="shared" si="0"/>
        <v>Chưa cho lên đơn</v>
      </c>
      <c r="D71" s="110">
        <v>100000</v>
      </c>
      <c r="E71" s="110" t="s">
        <v>86</v>
      </c>
      <c r="F71" s="10" t="s">
        <v>87</v>
      </c>
    </row>
    <row r="72" spans="1:6" ht="16.5" hidden="1">
      <c r="A72" s="107">
        <v>704797978</v>
      </c>
      <c r="B72" s="108" t="str">
        <f>IF(A72&lt;&gt;"", VLOOKUP(A72,'Danh Sách Tổng KH'!$A$1:$B$547,2,0),"")</f>
        <v>Võ Văn Kiệt</v>
      </c>
      <c r="C72" s="109" t="str">
        <f t="shared" si="0"/>
        <v>Chưa cho lên đơn</v>
      </c>
      <c r="D72" s="110">
        <v>100000</v>
      </c>
      <c r="E72" s="110" t="s">
        <v>86</v>
      </c>
      <c r="F72" s="10" t="s">
        <v>87</v>
      </c>
    </row>
    <row r="73" spans="1:6" ht="16.5" hidden="1">
      <c r="A73" s="107">
        <v>907880007</v>
      </c>
      <c r="B73" s="108" t="str">
        <f>IF(A73&lt;&gt;"", VLOOKUP(A73,'Danh Sách Tổng KH'!$A$1:$B$547,2,0),"")</f>
        <v>Võ Văn Kiệt</v>
      </c>
      <c r="C73" s="109" t="str">
        <f t="shared" si="0"/>
        <v>Chưa cho lên đơn</v>
      </c>
      <c r="D73" s="110">
        <v>250000</v>
      </c>
      <c r="E73" s="110" t="s">
        <v>86</v>
      </c>
      <c r="F73" s="10" t="s">
        <v>87</v>
      </c>
    </row>
    <row r="74" spans="1:6" ht="16.5" hidden="1">
      <c r="A74" s="107">
        <v>906874011</v>
      </c>
      <c r="B74" s="108" t="str">
        <f>IF(A74&lt;&gt;"", VLOOKUP(A74,'Danh Sách Tổng KH'!$A$1:$B$547,2,0),"")</f>
        <v>Nguyễn Kế Vinh</v>
      </c>
      <c r="C74" s="109" t="str">
        <f t="shared" si="0"/>
        <v>Chưa cho lên đơn</v>
      </c>
      <c r="D74" s="110">
        <v>1870000</v>
      </c>
      <c r="E74" s="110" t="s">
        <v>145</v>
      </c>
      <c r="F74" s="10" t="s">
        <v>87</v>
      </c>
    </row>
    <row r="75" spans="1:6" ht="16.5" hidden="1">
      <c r="A75" s="107">
        <v>939068036</v>
      </c>
      <c r="B75" s="108" t="str">
        <f>IF(A75&lt;&gt;"", VLOOKUP(A75,'Danh Sách Tổng KH'!$A$1:$B$547,2,0),"")</f>
        <v>Nguyễn Thị Trúc Phương kế út bơm cát</v>
      </c>
      <c r="C75" s="109" t="str">
        <f t="shared" si="0"/>
        <v>Chưa cho lên đơn</v>
      </c>
      <c r="D75" s="110">
        <v>150000</v>
      </c>
      <c r="E75" s="110" t="s">
        <v>145</v>
      </c>
      <c r="F75" s="10" t="s">
        <v>87</v>
      </c>
    </row>
    <row r="76" spans="1:6" ht="16.5" hidden="1">
      <c r="A76" s="107">
        <v>977283949</v>
      </c>
      <c r="B76" s="108" t="str">
        <f>IF(A76&lt;&gt;"", VLOOKUP(A76,'Danh Sách Tổng KH'!$A$1:$B$547,2,0),"")</f>
        <v>Trần Thị Mộng Cầm</v>
      </c>
      <c r="C76" s="109" t="str">
        <f t="shared" si="0"/>
        <v>Chưa cho lên đơn</v>
      </c>
      <c r="D76" s="110">
        <v>200000</v>
      </c>
      <c r="E76" s="110" t="s">
        <v>145</v>
      </c>
      <c r="F76" s="10" t="s">
        <v>87</v>
      </c>
    </row>
    <row r="77" spans="1:6" ht="16.5" hidden="1">
      <c r="A77" s="107">
        <v>939359580</v>
      </c>
      <c r="B77" s="108" t="str">
        <f>IF(A77&lt;&gt;"", VLOOKUP(A77,'Danh Sách Tổng KH'!$A$1:$B$547,2,0),"")</f>
        <v>Trần Thị Mỹ Cầm</v>
      </c>
      <c r="C77" s="109" t="str">
        <f t="shared" si="0"/>
        <v>Chưa cho lên đơn</v>
      </c>
      <c r="D77" s="110">
        <v>200000</v>
      </c>
      <c r="E77" s="110" t="s">
        <v>145</v>
      </c>
      <c r="F77" s="10" t="s">
        <v>87</v>
      </c>
    </row>
    <row r="78" spans="1:6" ht="16.5" hidden="1">
      <c r="A78" s="107">
        <v>899507261</v>
      </c>
      <c r="B78" s="108" t="str">
        <f>IF(A78&lt;&gt;"", VLOOKUP(A78,'Danh Sách Tổng KH'!$A$1:$B$547,2,0),"")</f>
        <v>Nguyễn Thị Mỹ Ngọc</v>
      </c>
      <c r="C78" s="109" t="str">
        <f t="shared" si="0"/>
        <v>Chưa cho lên đơn</v>
      </c>
      <c r="D78" s="110">
        <v>100000</v>
      </c>
      <c r="E78" s="110" t="s">
        <v>145</v>
      </c>
      <c r="F78" s="10" t="s">
        <v>87</v>
      </c>
    </row>
    <row r="79" spans="1:6" ht="16.5" hidden="1">
      <c r="A79" s="107">
        <v>907646875</v>
      </c>
      <c r="B79" s="108" t="str">
        <f>IF(A79&lt;&gt;"", VLOOKUP(A79,'Danh Sách Tổng KH'!$A$1:$B$547,2,0),"")</f>
        <v>Nguyễn Thị Đan Thanh</v>
      </c>
      <c r="C79" s="109" t="str">
        <f t="shared" si="0"/>
        <v>Chưa cho lên đơn</v>
      </c>
      <c r="D79" s="110">
        <v>250000</v>
      </c>
      <c r="E79" s="110" t="s">
        <v>145</v>
      </c>
      <c r="F79" s="10" t="s">
        <v>87</v>
      </c>
    </row>
    <row r="80" spans="1:6" ht="16.5" hidden="1">
      <c r="A80" s="107">
        <v>777292268</v>
      </c>
      <c r="B80" s="108" t="str">
        <f>IF(A80&lt;&gt;"", VLOOKUP(A80,'Danh Sách Tổng KH'!$A$1:$B$547,2,0),"")</f>
        <v>Nguyễn Thị Đan Thanh</v>
      </c>
      <c r="C80" s="109" t="str">
        <f t="shared" si="0"/>
        <v>Chưa cho lên đơn</v>
      </c>
      <c r="D80" s="110">
        <v>120000</v>
      </c>
      <c r="E80" s="110" t="s">
        <v>145</v>
      </c>
      <c r="F80" s="10" t="s">
        <v>87</v>
      </c>
    </row>
    <row r="81" spans="1:6" ht="16.5" hidden="1">
      <c r="A81" s="107">
        <v>907101268</v>
      </c>
      <c r="B81" s="108" t="str">
        <f>IF(A81&lt;&gt;"", VLOOKUP(A81,'Danh Sách Tổng KH'!$A$1:$B$547,2,0),"")</f>
        <v>Trần Quốc Đạt</v>
      </c>
      <c r="C81" s="109" t="str">
        <f t="shared" si="0"/>
        <v>Chưa cho lên đơn</v>
      </c>
      <c r="D81" s="110">
        <v>150000</v>
      </c>
      <c r="E81" s="110" t="s">
        <v>174</v>
      </c>
      <c r="F81" s="10" t="s">
        <v>87</v>
      </c>
    </row>
    <row r="82" spans="1:6" ht="16.5" hidden="1">
      <c r="A82" s="107">
        <v>937456721</v>
      </c>
      <c r="B82" s="108" t="str">
        <f>IF(A82&lt;&gt;"", VLOOKUP(A82,'Danh Sách Tổng KH'!$A$1:$B$547,2,0),"")</f>
        <v>Nguyễn Hoàng Nhật</v>
      </c>
      <c r="C82" s="109" t="str">
        <f t="shared" si="0"/>
        <v>Chưa cho lên đơn</v>
      </c>
      <c r="D82" s="110">
        <v>100000</v>
      </c>
      <c r="E82" s="110" t="s">
        <v>174</v>
      </c>
      <c r="F82" s="10" t="s">
        <v>87</v>
      </c>
    </row>
    <row r="83" spans="1:6" ht="16.5" hidden="1">
      <c r="A83" s="107">
        <v>907917191</v>
      </c>
      <c r="B83" s="108" t="str">
        <f>IF(A83&lt;&gt;"", VLOOKUP(A83,'Danh Sách Tổng KH'!$A$1:$B$547,2,0),"")</f>
        <v>Phan Thành Long</v>
      </c>
      <c r="C83" s="109" t="str">
        <f t="shared" si="0"/>
        <v>Chưa cho lên đơn</v>
      </c>
      <c r="D83" s="110">
        <v>220000</v>
      </c>
      <c r="E83" s="110" t="s">
        <v>174</v>
      </c>
      <c r="F83" s="10" t="s">
        <v>87</v>
      </c>
    </row>
    <row r="84" spans="1:6" ht="16.5" hidden="1">
      <c r="A84" s="107">
        <v>939930030</v>
      </c>
      <c r="B84" s="108" t="str">
        <f>IF(A84&lt;&gt;"", VLOOKUP(A84,'Danh Sách Tổng KH'!$A$1:$B$547,2,0),"")</f>
        <v>Nguyễn Phúc Thiện</v>
      </c>
      <c r="C84" s="109" t="str">
        <f t="shared" si="0"/>
        <v>Chưa cho lên đơn</v>
      </c>
      <c r="D84" s="110">
        <v>150000</v>
      </c>
      <c r="E84" s="110" t="s">
        <v>194</v>
      </c>
      <c r="F84" s="10" t="s">
        <v>87</v>
      </c>
    </row>
    <row r="85" spans="1:6" ht="16.5" hidden="1">
      <c r="A85" s="107">
        <v>939969498</v>
      </c>
      <c r="B85" s="108" t="str">
        <f>IF(A85&lt;&gt;"", VLOOKUP(A85,'Danh Sách Tổng KH'!$A$1:$B$547,2,0),"")</f>
        <v>HỘ KINH DOANH RIO</v>
      </c>
      <c r="C85" s="109" t="str">
        <f t="shared" si="0"/>
        <v>Chưa cho lên đơn</v>
      </c>
      <c r="D85" s="110">
        <v>270000</v>
      </c>
      <c r="E85" s="110" t="s">
        <v>260</v>
      </c>
      <c r="F85" s="10" t="s">
        <v>87</v>
      </c>
    </row>
    <row r="86" spans="1:6" ht="16.5" hidden="1">
      <c r="A86" s="107">
        <v>939890980</v>
      </c>
      <c r="B86" s="108" t="str">
        <f>IF(A86&lt;&gt;"", VLOOKUP(A86,'Danh Sách Tổng KH'!$A$1:$B$547,2,0),"")</f>
        <v>Nguyễn Thanh Hải Tuấn sắt p3</v>
      </c>
      <c r="C86" s="109" t="str">
        <f t="shared" si="0"/>
        <v>Chưa cho lên đơn</v>
      </c>
      <c r="D86" s="110">
        <v>100000</v>
      </c>
      <c r="E86" s="110" t="s">
        <v>260</v>
      </c>
      <c r="F86" s="10" t="s">
        <v>87</v>
      </c>
    </row>
    <row r="87" spans="1:6" ht="16.5" hidden="1">
      <c r="A87" s="107">
        <v>939318308</v>
      </c>
      <c r="B87" s="108" t="str">
        <f>IF(A87&lt;&gt;"", VLOOKUP(A87,'Danh Sách Tổng KH'!$A$1:$B$547,2,0),"")</f>
        <v>Nguyễn Trần Phước Thịnh</v>
      </c>
      <c r="C87" s="109" t="str">
        <f t="shared" si="0"/>
        <v>Chưa cho lên đơn</v>
      </c>
      <c r="D87" s="110">
        <v>160000</v>
      </c>
      <c r="E87" s="110"/>
    </row>
    <row r="88" spans="1:6" ht="16.5" hidden="1">
      <c r="A88" s="107">
        <v>703999709</v>
      </c>
      <c r="B88" s="108" t="str">
        <f>IF(A88&lt;&gt;"", VLOOKUP(A88,'Danh Sách Tổng KH'!$A$1:$B$547,2,0),"")</f>
        <v>Nguyễn Hoàng Tâm Hạnh wile</v>
      </c>
      <c r="C88" s="109" t="str">
        <f t="shared" si="0"/>
        <v>Chưa cho lên đơn</v>
      </c>
      <c r="D88" s="110">
        <v>260000</v>
      </c>
      <c r="E88" s="110"/>
    </row>
    <row r="89" spans="1:6" ht="16.5" hidden="1">
      <c r="A89" s="107">
        <v>939068963</v>
      </c>
      <c r="B89" s="108" t="str">
        <f>IF(A89&lt;&gt;"", VLOOKUP(A89,'Danh Sách Tổng KH'!$A$1:$B$547,2,0),"")</f>
        <v>Nguyễn Thị Hồng Cúc bãi cọc cầu tân hữu mới</v>
      </c>
      <c r="C89" s="109" t="str">
        <f t="shared" si="0"/>
        <v>Chưa cho lên đơn</v>
      </c>
      <c r="D89" s="110">
        <v>100000</v>
      </c>
      <c r="E89" s="110"/>
    </row>
    <row r="90" spans="1:6" ht="16.5" hidden="1">
      <c r="A90" s="107">
        <v>908456566</v>
      </c>
      <c r="B90" s="108" t="str">
        <f>IF(A90&lt;&gt;"", VLOOKUP(A90,'Danh Sách Tổng KH'!$A$1:$B$547,2,0),"")</f>
        <v>Phạm Thanh Việt</v>
      </c>
      <c r="C90" s="109" t="str">
        <f t="shared" si="0"/>
        <v>Chưa cho lên đơn</v>
      </c>
      <c r="D90" s="110">
        <v>500000</v>
      </c>
      <c r="E90" s="110" t="s">
        <v>86</v>
      </c>
      <c r="F90" s="10" t="s">
        <v>87</v>
      </c>
    </row>
    <row r="91" spans="1:6" ht="16.5" hidden="1">
      <c r="A91" s="107">
        <v>939857769</v>
      </c>
      <c r="B91" s="108" t="str">
        <f>IF(A91&lt;&gt;"", VLOOKUP(A91,'Danh Sách Tổng KH'!$A$1:$B$547,2,0),"")</f>
        <v>Nguyễn Thị Thanh Nhã</v>
      </c>
      <c r="C91" s="109" t="str">
        <f t="shared" si="0"/>
        <v>Chưa cho lên đơn</v>
      </c>
      <c r="D91" s="110">
        <v>100000</v>
      </c>
      <c r="E91" s="110" t="s">
        <v>86</v>
      </c>
      <c r="F91" s="10" t="s">
        <v>87</v>
      </c>
    </row>
    <row r="92" spans="1:6" ht="16.5" hidden="1">
      <c r="A92" s="107">
        <v>932884946</v>
      </c>
      <c r="B92" s="108" t="str">
        <f>IF(A92&lt;&gt;"", VLOOKUP(A92,'Danh Sách Tổng KH'!$A$1:$B$547,2,0),"")</f>
        <v>Ngọc Châu</v>
      </c>
      <c r="C92" s="109" t="str">
        <f t="shared" si="0"/>
        <v>Chưa cho lên đơn</v>
      </c>
      <c r="D92" s="110">
        <v>100000</v>
      </c>
      <c r="E92" s="110" t="s">
        <v>86</v>
      </c>
      <c r="F92" s="10" t="s">
        <v>87</v>
      </c>
    </row>
    <row r="93" spans="1:6" ht="16.5" hidden="1">
      <c r="A93" s="107">
        <v>907982798</v>
      </c>
      <c r="B93" s="108" t="str">
        <f>IF(A93&lt;&gt;"", VLOOKUP(A93,'Danh Sách Tổng KH'!$A$1:$B$547,2,0),"")</f>
        <v>Trần Ánh Ngọc zalo Nguyễn Phước Thiện</v>
      </c>
      <c r="C93" s="109" t="str">
        <f t="shared" si="0"/>
        <v>Chưa cho lên đơn</v>
      </c>
      <c r="D93" s="110">
        <v>160000</v>
      </c>
      <c r="E93" s="110" t="s">
        <v>86</v>
      </c>
      <c r="F93" s="10" t="s">
        <v>87</v>
      </c>
    </row>
    <row r="94" spans="1:6" ht="16.5" hidden="1">
      <c r="A94" s="107">
        <v>907989874</v>
      </c>
      <c r="B94" s="108" t="str">
        <f>IF(A94&lt;&gt;"", VLOOKUP(A94,'Danh Sách Tổng KH'!$A$1:$B$547,2,0),"")</f>
        <v>Lâm Sơn Hiếu</v>
      </c>
      <c r="C94" s="109" t="str">
        <f t="shared" si="0"/>
        <v>Chưa cho lên đơn</v>
      </c>
      <c r="D94" s="110">
        <v>100000</v>
      </c>
      <c r="E94" s="110" t="s">
        <v>86</v>
      </c>
      <c r="F94" s="10" t="s">
        <v>87</v>
      </c>
    </row>
    <row r="95" spans="1:6" ht="16.5" hidden="1">
      <c r="A95" s="107">
        <v>704797978</v>
      </c>
      <c r="B95" s="108" t="str">
        <f>IF(A95&lt;&gt;"", VLOOKUP(A95,'Danh Sách Tổng KH'!$A$1:$B$547,2,0),"")</f>
        <v>Võ Văn Kiệt</v>
      </c>
      <c r="C95" s="109" t="str">
        <f t="shared" si="0"/>
        <v>Chưa cho lên đơn</v>
      </c>
      <c r="D95" s="110">
        <v>100000</v>
      </c>
      <c r="E95" s="110" t="s">
        <v>86</v>
      </c>
      <c r="F95" s="10" t="s">
        <v>87</v>
      </c>
    </row>
    <row r="96" spans="1:6" ht="16.5" hidden="1">
      <c r="A96" s="107">
        <v>907880007</v>
      </c>
      <c r="B96" s="108" t="str">
        <f>IF(A96&lt;&gt;"", VLOOKUP(A96,'Danh Sách Tổng KH'!$A$1:$B$547,2,0),"")</f>
        <v>Võ Văn Kiệt</v>
      </c>
      <c r="C96" s="109" t="str">
        <f t="shared" si="0"/>
        <v>Chưa cho lên đơn</v>
      </c>
      <c r="D96" s="110">
        <v>250000</v>
      </c>
      <c r="E96" s="110" t="s">
        <v>86</v>
      </c>
      <c r="F96" s="10" t="s">
        <v>87</v>
      </c>
    </row>
    <row r="97" spans="1:6" ht="16.5" hidden="1">
      <c r="A97" s="107">
        <v>899507261</v>
      </c>
      <c r="B97" s="108" t="str">
        <f>IF(A97&lt;&gt;"", VLOOKUP(A97,'Danh Sách Tổng KH'!$A$1:$B$547,2,0),"")</f>
        <v>Nguyễn Thị Mỹ Ngọc</v>
      </c>
      <c r="C97" s="109" t="str">
        <f t="shared" si="0"/>
        <v>Chưa cho lên đơn</v>
      </c>
      <c r="D97" s="110">
        <v>100000</v>
      </c>
      <c r="E97" s="110" t="s">
        <v>86</v>
      </c>
      <c r="F97" s="10" t="s">
        <v>87</v>
      </c>
    </row>
    <row r="98" spans="1:6" ht="16.5" hidden="1">
      <c r="A98" s="107">
        <v>782818186</v>
      </c>
      <c r="B98" s="108" t="str">
        <f>IF(A98&lt;&gt;"", VLOOKUP(A98,'Danh Sách Tổng KH'!$A$1:$B$547,2,0),"")</f>
        <v>Trần Thị Thuận</v>
      </c>
      <c r="C98" s="109" t="str">
        <f t="shared" si="0"/>
        <v>Chưa cho lên đơn</v>
      </c>
      <c r="D98" s="110">
        <v>150000</v>
      </c>
      <c r="E98" s="110" t="s">
        <v>86</v>
      </c>
      <c r="F98" s="10" t="s">
        <v>87</v>
      </c>
    </row>
    <row r="99" spans="1:6" ht="16.5" hidden="1">
      <c r="A99" s="107">
        <v>909114989</v>
      </c>
      <c r="B99" s="108" t="str">
        <f>IF(A99&lt;&gt;"", VLOOKUP(A99,'Danh Sách Tổng KH'!$A$1:$B$547,2,0),"")</f>
        <v>Trần Thị Thuận</v>
      </c>
      <c r="C99" s="109" t="str">
        <f t="shared" si="0"/>
        <v>Chưa cho lên đơn</v>
      </c>
      <c r="D99" s="110">
        <v>250000</v>
      </c>
      <c r="E99" s="110" t="s">
        <v>86</v>
      </c>
      <c r="F99" s="10" t="s">
        <v>87</v>
      </c>
    </row>
    <row r="100" spans="1:6" ht="16.5" hidden="1">
      <c r="A100" s="107">
        <v>907603189</v>
      </c>
      <c r="B100" s="108" t="str">
        <f>IF(A100&lt;&gt;"", VLOOKUP(A100,'Danh Sách Tổng KH'!$A$1:$B$547,2,0),"")</f>
        <v>Trần Thị Thuận</v>
      </c>
      <c r="C100" s="109" t="str">
        <f t="shared" si="0"/>
        <v>Chưa cho lên đơn</v>
      </c>
      <c r="D100" s="110">
        <v>200000</v>
      </c>
      <c r="E100" s="110" t="s">
        <v>86</v>
      </c>
      <c r="F100" s="10" t="s">
        <v>87</v>
      </c>
    </row>
    <row r="101" spans="1:6" ht="16.5" hidden="1">
      <c r="A101" s="107">
        <v>907646875</v>
      </c>
      <c r="B101" s="108" t="str">
        <f>IF(A101&lt;&gt;"", VLOOKUP(A101,'Danh Sách Tổng KH'!$A$1:$B$547,2,0),"")</f>
        <v>Nguyễn Thị Đan Thanh</v>
      </c>
      <c r="C101" s="109" t="str">
        <f t="shared" si="0"/>
        <v>Chưa cho lên đơn</v>
      </c>
      <c r="D101" s="110">
        <v>270000</v>
      </c>
      <c r="E101" s="110" t="s">
        <v>86</v>
      </c>
      <c r="F101" s="10" t="s">
        <v>87</v>
      </c>
    </row>
    <row r="102" spans="1:6" ht="16.5" hidden="1">
      <c r="A102" s="107">
        <v>777292268</v>
      </c>
      <c r="B102" s="108" t="str">
        <f>IF(A102&lt;&gt;"", VLOOKUP(A102,'Danh Sách Tổng KH'!$A$1:$B$547,2,0),"")</f>
        <v>Nguyễn Thị Đan Thanh</v>
      </c>
      <c r="C102" s="109" t="str">
        <f t="shared" si="0"/>
        <v>Chưa cho lên đơn</v>
      </c>
      <c r="D102" s="110">
        <v>110000</v>
      </c>
      <c r="E102" s="110" t="s">
        <v>86</v>
      </c>
      <c r="F102" s="10" t="s">
        <v>87</v>
      </c>
    </row>
    <row r="103" spans="1:6" ht="16.5" hidden="1">
      <c r="A103" s="107">
        <v>939890980</v>
      </c>
      <c r="B103" s="108" t="str">
        <f>IF(A103&lt;&gt;"", VLOOKUP(A103,'Danh Sách Tổng KH'!$A$1:$B$547,2,0),"")</f>
        <v>Nguyễn Thanh Hải Tuấn sắt p3</v>
      </c>
      <c r="C103" s="109" t="str">
        <f t="shared" si="0"/>
        <v>Chưa cho lên đơn</v>
      </c>
      <c r="D103" s="110">
        <v>100000</v>
      </c>
      <c r="E103" s="110" t="s">
        <v>86</v>
      </c>
      <c r="F103" s="10" t="s">
        <v>87</v>
      </c>
    </row>
    <row r="104" spans="1:6" ht="16.5" hidden="1">
      <c r="A104" s="107">
        <v>937456721</v>
      </c>
      <c r="B104" s="108" t="str">
        <f>IF(A104&lt;&gt;"", VLOOKUP(A104,'Danh Sách Tổng KH'!$A$1:$B$547,2,0),"")</f>
        <v>Nguyễn Hoàng Nhật</v>
      </c>
      <c r="C104" s="109" t="str">
        <f t="shared" si="0"/>
        <v>Chưa cho lên đơn</v>
      </c>
      <c r="D104" s="110">
        <v>100000</v>
      </c>
      <c r="E104" s="110" t="s">
        <v>86</v>
      </c>
      <c r="F104" s="10" t="s">
        <v>87</v>
      </c>
    </row>
    <row r="105" spans="1:6" ht="16.5" hidden="1">
      <c r="A105" s="107">
        <v>977283949</v>
      </c>
      <c r="B105" s="108" t="str">
        <f>IF(A105&lt;&gt;"", VLOOKUP(A105,'Danh Sách Tổng KH'!$A$1:$B$547,2,0),"")</f>
        <v>Trần Thị Mộng Cầm</v>
      </c>
      <c r="C105" s="109" t="str">
        <f t="shared" si="0"/>
        <v>Chưa cho lên đơn</v>
      </c>
      <c r="D105" s="110">
        <v>240000</v>
      </c>
      <c r="E105" s="110" t="s">
        <v>86</v>
      </c>
      <c r="F105" s="10" t="s">
        <v>87</v>
      </c>
    </row>
    <row r="106" spans="1:6" ht="16.5" hidden="1">
      <c r="A106" s="107">
        <v>939359580</v>
      </c>
      <c r="B106" s="108" t="str">
        <f>IF(A106&lt;&gt;"", VLOOKUP(A106,'Danh Sách Tổng KH'!$A$1:$B$547,2,0),"")</f>
        <v>Trần Thị Mỹ Cầm</v>
      </c>
      <c r="C106" s="109" t="str">
        <f t="shared" si="0"/>
        <v>Chưa cho lên đơn</v>
      </c>
      <c r="D106" s="110">
        <v>250000</v>
      </c>
      <c r="E106" s="110" t="s">
        <v>86</v>
      </c>
      <c r="F106" s="10" t="s">
        <v>87</v>
      </c>
    </row>
    <row r="107" spans="1:6" ht="16.5" hidden="1">
      <c r="A107" s="107">
        <v>786086878</v>
      </c>
      <c r="B107" s="108" t="str">
        <f>IF(A107&lt;&gt;"", VLOOKUP(A107,'Danh Sách Tổng KH'!$A$1:$B$547,2,0),"")</f>
        <v>Nguyễn Ngọc Tuyết Lan</v>
      </c>
      <c r="C107" s="109" t="str">
        <f t="shared" si="0"/>
        <v>Chưa cho lên đơn</v>
      </c>
      <c r="D107" s="110">
        <v>100000</v>
      </c>
      <c r="E107" s="110" t="s">
        <v>86</v>
      </c>
      <c r="F107" s="10" t="s">
        <v>87</v>
      </c>
    </row>
    <row r="108" spans="1:6" ht="16.5" hidden="1">
      <c r="A108" s="107">
        <v>939969498</v>
      </c>
      <c r="B108" s="108" t="str">
        <f>IF(A108&lt;&gt;"", VLOOKUP(A108,'Danh Sách Tổng KH'!$A$1:$B$547,2,0),"")</f>
        <v>HỘ KINH DOANH RIO</v>
      </c>
      <c r="C108" s="109" t="str">
        <f t="shared" si="0"/>
        <v>Chưa cho lên đơn</v>
      </c>
      <c r="D108" s="110">
        <v>260000</v>
      </c>
      <c r="E108" s="110" t="s">
        <v>145</v>
      </c>
      <c r="F108" s="10" t="s">
        <v>87</v>
      </c>
    </row>
    <row r="109" spans="1:6" ht="16.5" hidden="1">
      <c r="A109" s="107">
        <v>939092010</v>
      </c>
      <c r="B109" s="108" t="str">
        <f>IF(A109&lt;&gt;"", VLOOKUP(A109,'Danh Sách Tổng KH'!$A$1:$B$547,2,0),"")</f>
        <v>Nguyễn Minh Chí</v>
      </c>
      <c r="C109" s="109" t="str">
        <f t="shared" si="0"/>
        <v>Chưa cho lên đơn</v>
      </c>
      <c r="D109" s="110">
        <v>200000</v>
      </c>
      <c r="E109" s="110" t="s">
        <v>145</v>
      </c>
      <c r="F109" s="10" t="s">
        <v>87</v>
      </c>
    </row>
    <row r="110" spans="1:6" ht="16.5" hidden="1">
      <c r="A110" s="107">
        <v>939930030</v>
      </c>
      <c r="B110" s="108" t="str">
        <f>IF(A110&lt;&gt;"", VLOOKUP(A110,'Danh Sách Tổng KH'!$A$1:$B$547,2,0),"")</f>
        <v>Nguyễn Phúc Thiện</v>
      </c>
      <c r="C110" s="109" t="str">
        <f t="shared" si="0"/>
        <v>Chưa cho lên đơn</v>
      </c>
      <c r="D110" s="110">
        <v>150000</v>
      </c>
      <c r="E110" s="110"/>
    </row>
    <row r="111" spans="1:6" ht="16.5" hidden="1">
      <c r="A111" s="107">
        <v>907101268</v>
      </c>
      <c r="B111" s="108" t="str">
        <f>IF(A111&lt;&gt;"", VLOOKUP(A111,'Danh Sách Tổng KH'!$A$1:$B$547,2,0),"")</f>
        <v>Trần Quốc Đạt</v>
      </c>
      <c r="C111" s="109" t="str">
        <f t="shared" si="0"/>
        <v>Chưa cho lên đơn</v>
      </c>
      <c r="D111" s="110">
        <v>150000</v>
      </c>
      <c r="E111" s="110"/>
    </row>
    <row r="112" spans="1:6" ht="16.5" hidden="1">
      <c r="A112" s="107">
        <v>766813900</v>
      </c>
      <c r="B112" s="108" t="str">
        <f>IF(A112&lt;&gt;"", VLOOKUP(A112,'Danh Sách Tổng KH'!$A$1:$B$547,2,0),"")</f>
        <v>Nguyễn Quốc Anh</v>
      </c>
      <c r="C112" s="109" t="str">
        <f t="shared" si="0"/>
        <v>Chưa cho lên đơn</v>
      </c>
      <c r="D112" s="110">
        <v>290000</v>
      </c>
      <c r="E112" s="110"/>
    </row>
    <row r="113" spans="1:6" ht="16.5" hidden="1">
      <c r="A113" s="107">
        <v>763977789</v>
      </c>
      <c r="B113" s="108" t="str">
        <f>IF(A113&lt;&gt;"", VLOOKUP(A113,'Danh Sách Tổng KH'!$A$1:$B$547,2,0),"")</f>
        <v>Nguyễn Đặng Huỳnh Phương Tuyền</v>
      </c>
      <c r="C113" s="109" t="str">
        <f t="shared" si="0"/>
        <v>Chưa cho lên đơn</v>
      </c>
      <c r="D113" s="110">
        <v>120000</v>
      </c>
      <c r="E113" s="110"/>
    </row>
    <row r="114" spans="1:6" ht="16.5" hidden="1">
      <c r="A114" s="107">
        <v>939068963</v>
      </c>
      <c r="B114" s="108" t="str">
        <f>IF(A114&lt;&gt;"", VLOOKUP(A114,'Danh Sách Tổng KH'!$A$1:$B$547,2,0),"")</f>
        <v>Nguyễn Thị Hồng Cúc bãi cọc cầu tân hữu mới</v>
      </c>
      <c r="C114" s="109" t="str">
        <f t="shared" si="0"/>
        <v>Chưa cho lên đơn</v>
      </c>
      <c r="D114" s="110">
        <v>100000</v>
      </c>
      <c r="E114" s="110"/>
    </row>
    <row r="115" spans="1:6" ht="16.5" hidden="1">
      <c r="A115" s="107">
        <v>939345322</v>
      </c>
      <c r="B115" s="108" t="str">
        <f>IF(A115&lt;&gt;"", VLOOKUP(A115,'Danh Sách Tổng KH'!$A$1:$B$547,2,0),"")</f>
        <v>Sơn Thị Bạch Cúc</v>
      </c>
      <c r="C115" s="109" t="str">
        <f t="shared" si="0"/>
        <v>Chưa cho lên đơn</v>
      </c>
      <c r="D115" s="110">
        <v>110000</v>
      </c>
      <c r="E115" s="110"/>
    </row>
    <row r="116" spans="1:6" ht="16.5" hidden="1">
      <c r="A116" s="107">
        <v>763993968</v>
      </c>
      <c r="B116" s="108" t="str">
        <f>IF(A116&lt;&gt;"", VLOOKUP(A116,'Danh Sách Tổng KH'!$A$1:$B$547,2,0),"")</f>
        <v>Đinh Tấn Hưng chồ bán Lư</v>
      </c>
      <c r="C116" s="109" t="str">
        <f t="shared" si="0"/>
        <v>Chưa cho lên đơn</v>
      </c>
      <c r="D116" s="110">
        <v>160000</v>
      </c>
      <c r="E116" s="110" t="s">
        <v>86</v>
      </c>
      <c r="F116" s="10" t="s">
        <v>87</v>
      </c>
    </row>
    <row r="117" spans="1:6" ht="16.5" hidden="1">
      <c r="A117" s="107">
        <v>762838158</v>
      </c>
      <c r="B117" s="108" t="str">
        <f>IF(A117&lt;&gt;"", VLOOKUP(A117,'Danh Sách Tổng KH'!$A$1:$B$547,2,0),"")</f>
        <v>Phan Thị Thùy Dung</v>
      </c>
      <c r="C117" s="109" t="str">
        <f t="shared" si="0"/>
        <v>Chưa cho lên đơn</v>
      </c>
      <c r="D117" s="110">
        <v>100000</v>
      </c>
      <c r="E117" s="110" t="s">
        <v>86</v>
      </c>
      <c r="F117" s="10" t="s">
        <v>87</v>
      </c>
    </row>
    <row r="118" spans="1:6" ht="16.5" hidden="1">
      <c r="A118" s="107">
        <v>702896623</v>
      </c>
      <c r="B118" s="108" t="str">
        <f>IF(A118&lt;&gt;"", VLOOKUP(A118,'Danh Sách Tổng KH'!$A$1:$B$547,2,0),"")</f>
        <v>Nguyễn Thị Cẩm Vân</v>
      </c>
      <c r="C118" s="109" t="str">
        <f t="shared" si="0"/>
        <v>Chưa cho lên đơn</v>
      </c>
      <c r="D118" s="110">
        <v>210000</v>
      </c>
      <c r="E118" s="110" t="s">
        <v>86</v>
      </c>
      <c r="F118" s="10" t="s">
        <v>87</v>
      </c>
    </row>
    <row r="119" spans="1:6" ht="16.5" hidden="1">
      <c r="A119" s="107">
        <v>793979699</v>
      </c>
      <c r="B119" s="108" t="str">
        <f>IF(A119&lt;&gt;"", VLOOKUP(A119,'Danh Sách Tổng KH'!$A$1:$B$547,2,0),"")</f>
        <v>Hộ Kinh Doanh Lạp Xạp</v>
      </c>
      <c r="C119" s="109" t="str">
        <f t="shared" si="0"/>
        <v>Chưa cho lên đơn</v>
      </c>
      <c r="D119" s="110">
        <v>100000</v>
      </c>
      <c r="E119" s="110" t="s">
        <v>86</v>
      </c>
      <c r="F119" s="10" t="s">
        <v>87</v>
      </c>
    </row>
    <row r="120" spans="1:6" ht="16.5" hidden="1">
      <c r="A120" s="107">
        <v>977283949</v>
      </c>
      <c r="B120" s="108" t="str">
        <f>IF(A120&lt;&gt;"", VLOOKUP(A120,'Danh Sách Tổng KH'!$A$1:$B$547,2,0),"")</f>
        <v>Trần Thị Mộng Cầm</v>
      </c>
      <c r="C120" s="109" t="str">
        <f t="shared" si="0"/>
        <v>Chưa cho lên đơn</v>
      </c>
      <c r="D120" s="110">
        <v>270000</v>
      </c>
      <c r="E120" s="110" t="s">
        <v>86</v>
      </c>
      <c r="F120" s="10" t="s">
        <v>87</v>
      </c>
    </row>
    <row r="121" spans="1:6" ht="16.5" hidden="1">
      <c r="A121" s="107">
        <v>939359580</v>
      </c>
      <c r="B121" s="108" t="str">
        <f>IF(A121&lt;&gt;"", VLOOKUP(A121,'Danh Sách Tổng KH'!$A$1:$B$547,2,0),"")</f>
        <v>Trần Thị Mỹ Cầm</v>
      </c>
      <c r="C121" s="109" t="str">
        <f t="shared" si="0"/>
        <v>Chưa cho lên đơn</v>
      </c>
      <c r="D121" s="110">
        <v>260000</v>
      </c>
      <c r="E121" s="110" t="s">
        <v>86</v>
      </c>
      <c r="F121" s="10" t="s">
        <v>87</v>
      </c>
    </row>
    <row r="122" spans="1:6" ht="16.5" hidden="1">
      <c r="A122" s="107">
        <v>704797978</v>
      </c>
      <c r="B122" s="108" t="str">
        <f>IF(A122&lt;&gt;"", VLOOKUP(A122,'Danh Sách Tổng KH'!$A$1:$B$547,2,0),"")</f>
        <v>Võ Văn Kiệt</v>
      </c>
      <c r="C122" s="109" t="str">
        <f t="shared" si="0"/>
        <v>Chưa cho lên đơn</v>
      </c>
      <c r="D122" s="110">
        <v>100000</v>
      </c>
      <c r="E122" s="110" t="s">
        <v>86</v>
      </c>
      <c r="F122" s="10" t="s">
        <v>87</v>
      </c>
    </row>
    <row r="123" spans="1:6" ht="16.5" hidden="1">
      <c r="A123" s="107">
        <v>907880007</v>
      </c>
      <c r="B123" s="108" t="str">
        <f>IF(A123&lt;&gt;"", VLOOKUP(A123,'Danh Sách Tổng KH'!$A$1:$B$547,2,0),"")</f>
        <v>Võ Văn Kiệt</v>
      </c>
      <c r="C123" s="109" t="str">
        <f t="shared" si="0"/>
        <v>Chưa cho lên đơn</v>
      </c>
      <c r="D123" s="110">
        <v>250000</v>
      </c>
      <c r="E123" s="110" t="s">
        <v>86</v>
      </c>
      <c r="F123" s="10" t="s">
        <v>87</v>
      </c>
    </row>
    <row r="124" spans="1:6" ht="16.5" hidden="1">
      <c r="A124" s="107">
        <v>786086878</v>
      </c>
      <c r="B124" s="108" t="str">
        <f>IF(A124&lt;&gt;"", VLOOKUP(A124,'Danh Sách Tổng KH'!$A$1:$B$547,2,0),"")</f>
        <v>Nguyễn Ngọc Tuyết Lan</v>
      </c>
      <c r="C124" s="109" t="str">
        <f t="shared" si="0"/>
        <v>Chưa cho lên đơn</v>
      </c>
      <c r="D124" s="110">
        <v>100000</v>
      </c>
      <c r="E124" s="110" t="s">
        <v>86</v>
      </c>
      <c r="F124" s="10" t="s">
        <v>87</v>
      </c>
    </row>
    <row r="125" spans="1:6" ht="16.5" hidden="1">
      <c r="A125" s="107">
        <v>907982798</v>
      </c>
      <c r="B125" s="108" t="str">
        <f>IF(A125&lt;&gt;"", VLOOKUP(A125,'Danh Sách Tổng KH'!$A$1:$B$547,2,0),"")</f>
        <v>Trần Ánh Ngọc zalo Nguyễn Phước Thiện</v>
      </c>
      <c r="C125" s="109" t="str">
        <f t="shared" si="0"/>
        <v>Chưa cho lên đơn</v>
      </c>
      <c r="D125" s="110">
        <v>160000</v>
      </c>
      <c r="E125" s="110" t="s">
        <v>86</v>
      </c>
      <c r="F125" s="10" t="s">
        <v>87</v>
      </c>
    </row>
    <row r="126" spans="1:6" ht="16.5" hidden="1">
      <c r="A126" s="107">
        <v>939890980</v>
      </c>
      <c r="B126" s="108" t="str">
        <f>IF(A126&lt;&gt;"", VLOOKUP(A126,'Danh Sách Tổng KH'!$A$1:$B$547,2,0),"")</f>
        <v>Nguyễn Thanh Hải Tuấn sắt p3</v>
      </c>
      <c r="C126" s="109" t="str">
        <f t="shared" si="0"/>
        <v>Chưa cho lên đơn</v>
      </c>
      <c r="D126" s="110">
        <v>100000</v>
      </c>
      <c r="E126" s="110" t="s">
        <v>86</v>
      </c>
      <c r="F126" s="10" t="s">
        <v>87</v>
      </c>
    </row>
    <row r="127" spans="1:6" ht="16.5" hidden="1">
      <c r="A127" s="107">
        <v>939857769</v>
      </c>
      <c r="B127" s="108" t="str">
        <f>IF(A127&lt;&gt;"", VLOOKUP(A127,'Danh Sách Tổng KH'!$A$1:$B$547,2,0),"")</f>
        <v>Nguyễn Thị Thanh Nhã</v>
      </c>
      <c r="C127" s="109" t="str">
        <f t="shared" si="0"/>
        <v>Chưa cho lên đơn</v>
      </c>
      <c r="D127" s="110">
        <v>280000</v>
      </c>
      <c r="E127" s="110" t="s">
        <v>86</v>
      </c>
      <c r="F127" s="10" t="s">
        <v>87</v>
      </c>
    </row>
    <row r="128" spans="1:6" ht="16.5" hidden="1">
      <c r="A128" s="107">
        <v>939068963</v>
      </c>
      <c r="B128" s="108" t="str">
        <f>IF(A128&lt;&gt;"", VLOOKUP(A128,'Danh Sách Tổng KH'!$A$1:$B$547,2,0),"")</f>
        <v>Nguyễn Thị Hồng Cúc bãi cọc cầu tân hữu mới</v>
      </c>
      <c r="C128" s="109" t="str">
        <f t="shared" si="0"/>
        <v>Chưa cho lên đơn</v>
      </c>
      <c r="D128" s="110">
        <v>100000</v>
      </c>
      <c r="E128" s="110" t="s">
        <v>86</v>
      </c>
      <c r="F128" s="10" t="s">
        <v>87</v>
      </c>
    </row>
    <row r="129" spans="1:6" ht="16.5" hidden="1">
      <c r="A129" s="107">
        <v>939345322</v>
      </c>
      <c r="B129" s="108" t="str">
        <f>IF(A129&lt;&gt;"", VLOOKUP(A129,'Danh Sách Tổng KH'!$A$1:$B$547,2,0),"")</f>
        <v>Sơn Thị Bạch Cúc</v>
      </c>
      <c r="C129" s="109" t="str">
        <f t="shared" si="0"/>
        <v>Chưa cho lên đơn</v>
      </c>
      <c r="D129" s="110">
        <v>110000</v>
      </c>
      <c r="E129" s="110" t="s">
        <v>86</v>
      </c>
      <c r="F129" s="10" t="s">
        <v>87</v>
      </c>
    </row>
    <row r="130" spans="1:6" ht="16.5" hidden="1">
      <c r="A130" s="107">
        <v>798093807</v>
      </c>
      <c r="B130" s="108" t="str">
        <f>IF(A130&lt;&gt;"", VLOOKUP(A130,'Danh Sách Tổng KH'!$A$1:$B$547,2,0),"")</f>
        <v>Đặng Thị Chi Thơm  798093807</v>
      </c>
      <c r="C130" s="109" t="str">
        <f t="shared" si="0"/>
        <v>Chưa cho lên đơn</v>
      </c>
      <c r="D130" s="110">
        <v>180000</v>
      </c>
      <c r="E130" s="110" t="s">
        <v>86</v>
      </c>
      <c r="F130" s="10" t="s">
        <v>87</v>
      </c>
    </row>
    <row r="131" spans="1:6" ht="16.5" hidden="1">
      <c r="A131" s="107">
        <v>939969498</v>
      </c>
      <c r="B131" s="108" t="str">
        <f>IF(A131&lt;&gt;"", VLOOKUP(A131,'Danh Sách Tổng KH'!$A$1:$B$547,2,0),"")</f>
        <v>HỘ KINH DOANH RIO</v>
      </c>
      <c r="C131" s="109" t="str">
        <f t="shared" si="0"/>
        <v>Chưa cho lên đơn</v>
      </c>
      <c r="D131" s="110">
        <v>260000</v>
      </c>
      <c r="E131" s="110" t="s">
        <v>86</v>
      </c>
      <c r="F131" s="10" t="s">
        <v>87</v>
      </c>
    </row>
    <row r="132" spans="1:6" ht="16.5" hidden="1">
      <c r="A132" s="107">
        <v>907646875</v>
      </c>
      <c r="B132" s="108" t="str">
        <f>IF(A132&lt;&gt;"", VLOOKUP(A132,'Danh Sách Tổng KH'!$A$1:$B$547,2,0),"")</f>
        <v>Nguyễn Thị Đan Thanh</v>
      </c>
      <c r="C132" s="109" t="str">
        <f t="shared" si="0"/>
        <v>Chưa cho lên đơn</v>
      </c>
      <c r="D132" s="110">
        <v>10000</v>
      </c>
      <c r="E132" s="110" t="s">
        <v>86</v>
      </c>
      <c r="F132" s="10" t="s">
        <v>87</v>
      </c>
    </row>
    <row r="133" spans="1:6" ht="16.5" hidden="1">
      <c r="A133" s="107">
        <v>777292268</v>
      </c>
      <c r="B133" s="108" t="str">
        <f>IF(A133&lt;&gt;"", VLOOKUP(A133,'Danh Sách Tổng KH'!$A$1:$B$547,2,0),"")</f>
        <v>Nguyễn Thị Đan Thanh</v>
      </c>
      <c r="C133" s="109" t="str">
        <f t="shared" si="0"/>
        <v>Chưa cho lên đơn</v>
      </c>
      <c r="D133" s="110">
        <v>110000</v>
      </c>
      <c r="E133" s="110" t="s">
        <v>86</v>
      </c>
      <c r="F133" s="10" t="s">
        <v>87</v>
      </c>
    </row>
    <row r="134" spans="1:6" ht="16.5" hidden="1">
      <c r="A134" s="107">
        <v>899507261</v>
      </c>
      <c r="B134" s="108" t="str">
        <f>IF(A134&lt;&gt;"", VLOOKUP(A134,'Danh Sách Tổng KH'!$A$1:$B$547,2,0),"")</f>
        <v>Nguyễn Thị Mỹ Ngọc</v>
      </c>
      <c r="C134" s="109" t="str">
        <f t="shared" si="0"/>
        <v>Chưa cho lên đơn</v>
      </c>
      <c r="D134" s="110">
        <v>100000</v>
      </c>
      <c r="E134" s="110" t="s">
        <v>86</v>
      </c>
      <c r="F134" s="10" t="s">
        <v>87</v>
      </c>
    </row>
    <row r="135" spans="1:6" ht="16.5" hidden="1">
      <c r="A135" s="107">
        <v>907989874</v>
      </c>
      <c r="B135" s="108" t="str">
        <f>IF(A135&lt;&gt;"", VLOOKUP(A135,'Danh Sách Tổng KH'!$A$1:$B$547,2,0),"")</f>
        <v>Lâm Sơn Hiếu</v>
      </c>
      <c r="C135" s="109" t="str">
        <f t="shared" si="0"/>
        <v>Chưa cho lên đơn</v>
      </c>
      <c r="D135" s="110">
        <v>100000</v>
      </c>
      <c r="E135" s="110" t="s">
        <v>86</v>
      </c>
      <c r="F135" s="10" t="s">
        <v>87</v>
      </c>
    </row>
    <row r="136" spans="1:6" ht="16.5" hidden="1">
      <c r="A136" s="107">
        <v>907101268</v>
      </c>
      <c r="B136" s="108" t="str">
        <f>IF(A136&lt;&gt;"", VLOOKUP(A136,'Danh Sách Tổng KH'!$A$1:$B$547,2,0),"")</f>
        <v>Trần Quốc Đạt</v>
      </c>
      <c r="C136" s="109" t="str">
        <f t="shared" si="0"/>
        <v>Chưa cho lên đơn</v>
      </c>
      <c r="D136" s="110">
        <v>150000</v>
      </c>
      <c r="E136" s="110" t="s">
        <v>86</v>
      </c>
      <c r="F136" s="10" t="s">
        <v>87</v>
      </c>
    </row>
    <row r="137" spans="1:6" ht="16.5" hidden="1">
      <c r="A137" s="107">
        <v>939930030</v>
      </c>
      <c r="B137" s="108" t="str">
        <f>IF(A137&lt;&gt;"", VLOOKUP(A137,'Danh Sách Tổng KH'!$A$1:$B$547,2,0),"")</f>
        <v>Nguyễn Phúc Thiện</v>
      </c>
      <c r="C137" s="109" t="str">
        <f t="shared" si="0"/>
        <v>Chưa cho lên đơn</v>
      </c>
      <c r="D137" s="110">
        <v>150000</v>
      </c>
      <c r="E137" s="110" t="s">
        <v>86</v>
      </c>
      <c r="F137" s="10" t="s">
        <v>87</v>
      </c>
    </row>
    <row r="138" spans="1:6" ht="16.5" hidden="1">
      <c r="A138" s="107">
        <v>937456721</v>
      </c>
      <c r="B138" s="108" t="str">
        <f>IF(A138&lt;&gt;"", VLOOKUP(A138,'Danh Sách Tổng KH'!$A$1:$B$547,2,0),"")</f>
        <v>Nguyễn Hoàng Nhật</v>
      </c>
      <c r="C138" s="109" t="str">
        <f t="shared" si="0"/>
        <v>Chưa cho lên đơn</v>
      </c>
      <c r="D138" s="110">
        <v>500000</v>
      </c>
      <c r="E138" s="110"/>
    </row>
    <row r="139" spans="1:6" ht="16.5" hidden="1">
      <c r="A139" s="107">
        <v>782818186</v>
      </c>
      <c r="B139" s="108" t="str">
        <f>IF(A139&lt;&gt;"", VLOOKUP(A139,'Danh Sách Tổng KH'!$A$1:$B$547,2,0),"")</f>
        <v>Trần Thị Thuận</v>
      </c>
      <c r="C139" s="109" t="str">
        <f t="shared" si="0"/>
        <v>Chưa cho lên đơn</v>
      </c>
      <c r="D139" s="110">
        <v>150000</v>
      </c>
      <c r="E139" s="110"/>
    </row>
    <row r="140" spans="1:6" ht="16.5" hidden="1">
      <c r="A140" s="107">
        <v>909114989</v>
      </c>
      <c r="B140" s="108" t="str">
        <f>IF(A140&lt;&gt;"", VLOOKUP(A140,'Danh Sách Tổng KH'!$A$1:$B$547,2,0),"")</f>
        <v>Trần Thị Thuận</v>
      </c>
      <c r="C140" s="109" t="str">
        <f t="shared" si="0"/>
        <v>Chưa cho lên đơn</v>
      </c>
      <c r="D140" s="110">
        <v>250000</v>
      </c>
      <c r="E140" s="110"/>
    </row>
    <row r="141" spans="1:6" ht="16.5" hidden="1">
      <c r="A141" s="107">
        <v>907603189</v>
      </c>
      <c r="B141" s="108" t="str">
        <f>IF(A141&lt;&gt;"", VLOOKUP(A141,'Danh Sách Tổng KH'!$A$1:$B$547,2,0),"")</f>
        <v>Trần Thị Thuận</v>
      </c>
      <c r="C141" s="109" t="str">
        <f t="shared" si="0"/>
        <v>Chưa cho lên đơn</v>
      </c>
      <c r="D141" s="110">
        <v>170000</v>
      </c>
      <c r="E141" s="110"/>
    </row>
    <row r="142" spans="1:6" ht="16.5" hidden="1">
      <c r="A142" s="107">
        <v>939318308</v>
      </c>
      <c r="B142" s="108" t="str">
        <f>IF(A142&lt;&gt;"", VLOOKUP(A142,'Danh Sách Tổng KH'!$A$1:$B$547,2,0),"")</f>
        <v>Nguyễn Trần Phước Thịnh</v>
      </c>
      <c r="C142" s="109" t="str">
        <f t="shared" si="0"/>
        <v>Chưa cho lên đơn</v>
      </c>
      <c r="D142" s="110">
        <v>160000</v>
      </c>
      <c r="E142" s="110"/>
    </row>
    <row r="143" spans="1:6" ht="16.5" hidden="1">
      <c r="A143" s="107">
        <v>907917191</v>
      </c>
      <c r="B143" s="108" t="str">
        <f>IF(A143&lt;&gt;"", VLOOKUP(A143,'Danh Sách Tổng KH'!$A$1:$B$547,2,0),"")</f>
        <v>Phan Thành Long</v>
      </c>
      <c r="C143" s="109" t="str">
        <f t="shared" si="0"/>
        <v>Chưa cho lên đơn</v>
      </c>
      <c r="D143" s="110">
        <v>430000</v>
      </c>
      <c r="E143" s="110"/>
    </row>
    <row r="144" spans="1:6" ht="16.5" hidden="1">
      <c r="A144" s="107">
        <v>939092010</v>
      </c>
      <c r="B144" s="108" t="str">
        <f>IF(A144&lt;&gt;"", VLOOKUP(A144,'Danh Sách Tổng KH'!$A$1:$B$547,2,0),"")</f>
        <v>Nguyễn Minh Chí</v>
      </c>
      <c r="C144" s="109" t="str">
        <f t="shared" si="0"/>
        <v>Chưa cho lên đơn</v>
      </c>
      <c r="D144" s="110">
        <v>200000</v>
      </c>
      <c r="E144" s="110"/>
    </row>
    <row r="145" spans="1:6" ht="16.5" hidden="1">
      <c r="A145" s="107">
        <v>783966689</v>
      </c>
      <c r="B145" s="108" t="str">
        <f>IF(A145&lt;&gt;"", VLOOKUP(A145,'Danh Sách Tổng KH'!$A$1:$B$547,2,0),"")</f>
        <v>Nguyễn Hải Hiệp chuồng bò LP</v>
      </c>
      <c r="C145" s="109" t="str">
        <f t="shared" si="0"/>
        <v>Chưa cho lên đơn</v>
      </c>
      <c r="D145" s="110">
        <v>160000</v>
      </c>
      <c r="E145" s="110"/>
    </row>
    <row r="146" spans="1:6" ht="16.5" hidden="1">
      <c r="A146" s="107">
        <v>932923479</v>
      </c>
      <c r="B146" s="108" t="str">
        <f>IF(A146&lt;&gt;"", VLOOKUP(A146,'Danh Sách Tổng KH'!$A$1:$B$547,2,0),"")</f>
        <v>Huỳnh Công Trạng ck pháp y</v>
      </c>
      <c r="C146" s="109" t="str">
        <f t="shared" si="0"/>
        <v>Chưa cho lên đơn</v>
      </c>
      <c r="D146" s="110">
        <v>160000</v>
      </c>
      <c r="E146" s="110"/>
    </row>
    <row r="147" spans="1:6" ht="16.5" hidden="1">
      <c r="A147" s="107">
        <v>932856989</v>
      </c>
      <c r="B147" s="108" t="str">
        <f>IF(A147&lt;&gt;"", VLOOKUP(A147,'Danh Sách Tổng KH'!$A$1:$B$547,2,0),"")</f>
        <v>Nguyễn Hữu Nhân p3 Anh Vũ kiu thu tại nhà</v>
      </c>
      <c r="C147" s="109" t="str">
        <f t="shared" si="0"/>
        <v>Chưa cho lên đơn</v>
      </c>
      <c r="D147" s="110">
        <v>100000</v>
      </c>
      <c r="E147" s="110"/>
    </row>
    <row r="148" spans="1:6" ht="16.5" hidden="1">
      <c r="A148" s="107">
        <v>762952593</v>
      </c>
      <c r="B148" s="108" t="str">
        <f>IF(A148&lt;&gt;"", VLOOKUP(A148,'Danh Sách Tổng KH'!$A$1:$B$547,2,0),"")</f>
        <v>Tạ Ánh Nguyệt</v>
      </c>
      <c r="C148" s="109" t="str">
        <f t="shared" si="0"/>
        <v>Chưa cho lên đơn</v>
      </c>
      <c r="D148" s="110">
        <v>100000</v>
      </c>
      <c r="E148" s="110"/>
    </row>
    <row r="149" spans="1:6" ht="16.5" hidden="1">
      <c r="A149" s="107">
        <v>939842959</v>
      </c>
      <c r="B149" s="108" t="str">
        <f>IF(A149&lt;&gt;"", VLOOKUP(A149,'Danh Sách Tổng KH'!$A$1:$B$547,2,0),"")</f>
        <v>Huỳnh Ngọc Dung</v>
      </c>
      <c r="C149" s="109" t="str">
        <f t="shared" si="0"/>
        <v>Chưa cho lên đơn</v>
      </c>
      <c r="D149" s="110">
        <v>170000</v>
      </c>
      <c r="E149" s="110"/>
      <c r="F149" s="10" t="s">
        <v>56</v>
      </c>
    </row>
    <row r="150" spans="1:6" ht="16.5" hidden="1">
      <c r="A150" s="107">
        <v>931002924</v>
      </c>
      <c r="B150" s="108" t="str">
        <f>IF(A150&lt;&gt;"", VLOOKUP(A150,'Danh Sách Tổng KH'!$A$1:$B$547,2,0),"")</f>
        <v>Huỳnh Ngọc Dung</v>
      </c>
      <c r="C150" s="109" t="str">
        <f t="shared" si="0"/>
        <v>Chưa cho lên đơn</v>
      </c>
      <c r="D150" s="110">
        <v>200000</v>
      </c>
      <c r="E150" s="110"/>
      <c r="F150" s="10" t="s">
        <v>56</v>
      </c>
    </row>
    <row r="151" spans="1:6" ht="12.75" hidden="1">
      <c r="B151" s="108" t="str">
        <f>IF(A151&lt;&gt;"", VLOOKUP(A151,'Danh Sách Tổng KH'!$A$1:$B$547,2,0),"")</f>
        <v/>
      </c>
      <c r="C151" s="109" t="str">
        <f t="shared" si="0"/>
        <v/>
      </c>
    </row>
    <row r="152" spans="1:6" ht="16.5" hidden="1">
      <c r="A152" s="107">
        <v>932923479</v>
      </c>
      <c r="B152" s="108" t="str">
        <f>IF(A152&lt;&gt;"", VLOOKUP(A152,'Danh Sách Tổng KH'!$A$1:$B$547,2,0),"")</f>
        <v>Huỳnh Công Trạng ck pháp y</v>
      </c>
      <c r="C152" s="109" t="str">
        <f t="shared" si="0"/>
        <v>Chưa cho lên đơn</v>
      </c>
      <c r="D152" s="110">
        <v>150000</v>
      </c>
      <c r="E152" s="110" t="s">
        <v>86</v>
      </c>
      <c r="F152" s="10" t="s">
        <v>87</v>
      </c>
    </row>
    <row r="153" spans="1:6" ht="16.5" hidden="1">
      <c r="A153" s="107">
        <v>899507261</v>
      </c>
      <c r="B153" s="108" t="str">
        <f>IF(A153&lt;&gt;"", VLOOKUP(A153,'Danh Sách Tổng KH'!$A$1:$B$547,2,0),"")</f>
        <v>Nguyễn Thị Mỹ Ngọc</v>
      </c>
      <c r="C153" s="109" t="str">
        <f t="shared" si="0"/>
        <v>Chưa cho lên đơn</v>
      </c>
      <c r="D153" s="110">
        <v>100000</v>
      </c>
      <c r="E153" s="110" t="s">
        <v>86</v>
      </c>
      <c r="F153" s="10" t="s">
        <v>87</v>
      </c>
    </row>
    <row r="154" spans="1:6" ht="16.5" hidden="1">
      <c r="A154" s="107">
        <v>782818186</v>
      </c>
      <c r="B154" s="108" t="str">
        <f>IF(A154&lt;&gt;"", VLOOKUP(A154,'Danh Sách Tổng KH'!$A$1:$B$547,2,0),"")</f>
        <v>Trần Thị Thuận</v>
      </c>
      <c r="C154" s="109" t="str">
        <f t="shared" si="0"/>
        <v>Chưa cho lên đơn</v>
      </c>
      <c r="D154" s="110">
        <v>150000</v>
      </c>
      <c r="E154" s="110" t="s">
        <v>86</v>
      </c>
      <c r="F154" s="10" t="s">
        <v>87</v>
      </c>
    </row>
    <row r="155" spans="1:6" ht="16.5" hidden="1">
      <c r="A155" s="107">
        <v>909114989</v>
      </c>
      <c r="B155" s="108" t="str">
        <f>IF(A155&lt;&gt;"", VLOOKUP(A155,'Danh Sách Tổng KH'!$A$1:$B$547,2,0),"")</f>
        <v>Trần Thị Thuận</v>
      </c>
      <c r="C155" s="109" t="str">
        <f t="shared" si="0"/>
        <v>Chưa cho lên đơn</v>
      </c>
      <c r="D155" s="110">
        <v>250000</v>
      </c>
      <c r="E155" s="110" t="s">
        <v>86</v>
      </c>
      <c r="F155" s="10" t="s">
        <v>87</v>
      </c>
    </row>
    <row r="156" spans="1:6" ht="16.5" hidden="1">
      <c r="A156" s="107">
        <v>907603189</v>
      </c>
      <c r="B156" s="108" t="str">
        <f>IF(A156&lt;&gt;"", VLOOKUP(A156,'Danh Sách Tổng KH'!$A$1:$B$547,2,0),"")</f>
        <v>Trần Thị Thuận</v>
      </c>
      <c r="C156" s="109" t="str">
        <f t="shared" si="0"/>
        <v>Chưa cho lên đơn</v>
      </c>
      <c r="D156" s="110">
        <v>160000</v>
      </c>
      <c r="E156" s="110" t="s">
        <v>86</v>
      </c>
      <c r="F156" s="10" t="s">
        <v>87</v>
      </c>
    </row>
    <row r="157" spans="1:6" ht="16.5" hidden="1">
      <c r="A157" s="107">
        <v>937456721</v>
      </c>
      <c r="B157" s="108" t="str">
        <f>IF(A157&lt;&gt;"", VLOOKUP(A157,'Danh Sách Tổng KH'!$A$1:$B$547,2,0),"")</f>
        <v>Nguyễn Hoàng Nhật</v>
      </c>
      <c r="C157" s="109" t="str">
        <f t="shared" si="0"/>
        <v>Chưa cho lên đơn</v>
      </c>
      <c r="D157" s="110">
        <v>280000</v>
      </c>
      <c r="E157" s="110" t="s">
        <v>86</v>
      </c>
      <c r="F157" s="10" t="s">
        <v>87</v>
      </c>
    </row>
    <row r="158" spans="1:6" ht="16.5" hidden="1">
      <c r="A158" s="107">
        <v>907646875</v>
      </c>
      <c r="B158" s="108" t="str">
        <f>IF(A158&lt;&gt;"", VLOOKUP(A158,'Danh Sách Tổng KH'!$A$1:$B$547,2,0),"")</f>
        <v>Nguyễn Thị Đan Thanh</v>
      </c>
      <c r="C158" s="109" t="str">
        <f t="shared" si="0"/>
        <v>Chưa cho lên đơn</v>
      </c>
      <c r="D158" s="110">
        <v>280000</v>
      </c>
      <c r="E158" s="110" t="s">
        <v>86</v>
      </c>
      <c r="F158" s="10" t="s">
        <v>87</v>
      </c>
    </row>
    <row r="159" spans="1:6" ht="16.5" hidden="1">
      <c r="A159" s="107">
        <v>777292268</v>
      </c>
      <c r="B159" s="108" t="str">
        <f>IF(A159&lt;&gt;"", VLOOKUP(A159,'Danh Sách Tổng KH'!$A$1:$B$547,2,0),"")</f>
        <v>Nguyễn Thị Đan Thanh</v>
      </c>
      <c r="C159" s="109" t="str">
        <f t="shared" si="0"/>
        <v>Chưa cho lên đơn</v>
      </c>
      <c r="D159" s="110">
        <v>100000</v>
      </c>
      <c r="E159" s="110" t="s">
        <v>86</v>
      </c>
      <c r="F159" s="10" t="s">
        <v>87</v>
      </c>
    </row>
    <row r="160" spans="1:6" ht="16.5" hidden="1">
      <c r="A160" s="107">
        <v>977283949</v>
      </c>
      <c r="B160" s="108" t="str">
        <f>IF(A160&lt;&gt;"", VLOOKUP(A160,'Danh Sách Tổng KH'!$A$1:$B$547,2,0),"")</f>
        <v>Trần Thị Mộng Cầm</v>
      </c>
      <c r="C160" s="109" t="str">
        <f t="shared" si="0"/>
        <v>Chưa cho lên đơn</v>
      </c>
      <c r="D160" s="110">
        <v>120000</v>
      </c>
      <c r="E160" s="110" t="s">
        <v>86</v>
      </c>
      <c r="F160" s="10" t="s">
        <v>87</v>
      </c>
    </row>
    <row r="161" spans="1:6" ht="16.5" hidden="1">
      <c r="A161" s="107">
        <v>939359580</v>
      </c>
      <c r="B161" s="108" t="str">
        <f>IF(A161&lt;&gt;"", VLOOKUP(A161,'Danh Sách Tổng KH'!$A$1:$B$547,2,0),"")</f>
        <v>Trần Thị Mỹ Cầm</v>
      </c>
      <c r="C161" s="109" t="str">
        <f t="shared" si="0"/>
        <v>Chưa cho lên đơn</v>
      </c>
      <c r="D161" s="110">
        <v>250000</v>
      </c>
      <c r="E161" s="110" t="s">
        <v>86</v>
      </c>
      <c r="F161" s="10" t="s">
        <v>87</v>
      </c>
    </row>
    <row r="162" spans="1:6" ht="16.5" hidden="1">
      <c r="A162" s="107">
        <v>909825529</v>
      </c>
      <c r="B162" s="108" t="str">
        <f>IF(A162&lt;&gt;"", VLOOKUP(A162,'Danh Sách Tổng KH'!$A$1:$B$547,2,0),"")</f>
        <v>Nguyễn Nhật Phương</v>
      </c>
      <c r="C162" s="109" t="str">
        <f t="shared" si="0"/>
        <v>Chưa cho lên đơn</v>
      </c>
      <c r="D162" s="110">
        <v>500000</v>
      </c>
      <c r="E162" s="110" t="s">
        <v>86</v>
      </c>
      <c r="F162" s="10" t="s">
        <v>87</v>
      </c>
    </row>
    <row r="163" spans="1:6" ht="16.5" hidden="1">
      <c r="A163" s="107">
        <v>786086878</v>
      </c>
      <c r="B163" s="108" t="str">
        <f>IF(A163&lt;&gt;"", VLOOKUP(A163,'Danh Sách Tổng KH'!$A$1:$B$547,2,0),"")</f>
        <v>Nguyễn Ngọc Tuyết Lan</v>
      </c>
      <c r="C163" s="109" t="str">
        <f t="shared" si="0"/>
        <v>Chưa cho lên đơn</v>
      </c>
      <c r="D163" s="110">
        <v>130000</v>
      </c>
      <c r="E163" s="110" t="s">
        <v>86</v>
      </c>
      <c r="F163" s="10" t="s">
        <v>87</v>
      </c>
    </row>
    <row r="164" spans="1:6" ht="16.5" hidden="1">
      <c r="A164" s="107">
        <v>939890980</v>
      </c>
      <c r="B164" s="108" t="str">
        <f>IF(A164&lt;&gt;"", VLOOKUP(A164,'Danh Sách Tổng KH'!$A$1:$B$547,2,0),"")</f>
        <v>Nguyễn Thanh Hải Tuấn sắt p3</v>
      </c>
      <c r="C164" s="109" t="str">
        <f t="shared" si="0"/>
        <v>Chưa cho lên đơn</v>
      </c>
      <c r="D164" s="110">
        <v>100000</v>
      </c>
      <c r="E164" s="110" t="s">
        <v>86</v>
      </c>
      <c r="F164" s="10" t="s">
        <v>87</v>
      </c>
    </row>
    <row r="165" spans="1:6" ht="16.5" hidden="1">
      <c r="A165" s="107">
        <v>939969498</v>
      </c>
      <c r="B165" s="108" t="str">
        <f>IF(A165&lt;&gt;"", VLOOKUP(A165,'Danh Sách Tổng KH'!$A$1:$B$547,2,0),"")</f>
        <v>HỘ KINH DOANH RIO</v>
      </c>
      <c r="C165" s="109" t="str">
        <f t="shared" si="0"/>
        <v>Chưa cho lên đơn</v>
      </c>
      <c r="D165" s="110">
        <v>270000</v>
      </c>
      <c r="E165" s="110" t="s">
        <v>86</v>
      </c>
      <c r="F165" s="10" t="s">
        <v>87</v>
      </c>
    </row>
    <row r="166" spans="1:6" ht="16.5" hidden="1">
      <c r="A166" s="107">
        <v>704797978</v>
      </c>
      <c r="B166" s="108" t="str">
        <f>IF(A166&lt;&gt;"", VLOOKUP(A166,'Danh Sách Tổng KH'!$A$1:$B$547,2,0),"")</f>
        <v>Võ Văn Kiệt</v>
      </c>
      <c r="C166" s="109" t="str">
        <f t="shared" si="0"/>
        <v>Chưa cho lên đơn</v>
      </c>
      <c r="D166" s="110">
        <v>100000</v>
      </c>
      <c r="E166" s="110" t="s">
        <v>86</v>
      </c>
      <c r="F166" s="10" t="s">
        <v>87</v>
      </c>
    </row>
    <row r="167" spans="1:6" ht="16.5" hidden="1">
      <c r="A167" s="107">
        <v>907880007</v>
      </c>
      <c r="B167" s="108" t="str">
        <f>IF(A167&lt;&gt;"", VLOOKUP(A167,'Danh Sách Tổng KH'!$A$1:$B$547,2,0),"")</f>
        <v>Võ Văn Kiệt</v>
      </c>
      <c r="C167" s="109" t="str">
        <f t="shared" si="0"/>
        <v>Chưa cho lên đơn</v>
      </c>
      <c r="D167" s="110">
        <v>250000</v>
      </c>
      <c r="E167" s="110" t="s">
        <v>86</v>
      </c>
      <c r="F167" s="10" t="s">
        <v>87</v>
      </c>
    </row>
    <row r="168" spans="1:6" ht="16.5" hidden="1">
      <c r="A168" s="107">
        <v>939930030</v>
      </c>
      <c r="B168" s="108" t="str">
        <f>IF(A168&lt;&gt;"", VLOOKUP(A168,'Danh Sách Tổng KH'!$A$1:$B$547,2,0),"")</f>
        <v>Nguyễn Phúc Thiện</v>
      </c>
      <c r="C168" s="109" t="str">
        <f t="shared" si="0"/>
        <v>Chưa cho lên đơn</v>
      </c>
      <c r="D168" s="110">
        <v>150000</v>
      </c>
      <c r="E168" s="110" t="s">
        <v>86</v>
      </c>
      <c r="F168" s="10" t="s">
        <v>87</v>
      </c>
    </row>
    <row r="169" spans="1:6" ht="16.5" hidden="1">
      <c r="A169" s="107">
        <v>939068963</v>
      </c>
      <c r="B169" s="108" t="str">
        <f>IF(A169&lt;&gt;"", VLOOKUP(A169,'Danh Sách Tổng KH'!$A$1:$B$547,2,0),"")</f>
        <v>Nguyễn Thị Hồng Cúc bãi cọc cầu tân hữu mới</v>
      </c>
      <c r="C169" s="109" t="str">
        <f t="shared" si="0"/>
        <v>Chưa cho lên đơn</v>
      </c>
      <c r="D169" s="110">
        <v>120000</v>
      </c>
      <c r="E169" s="110" t="s">
        <v>86</v>
      </c>
      <c r="F169" s="10" t="s">
        <v>87</v>
      </c>
    </row>
    <row r="170" spans="1:6" ht="16.5" hidden="1">
      <c r="A170" s="107">
        <v>939523819</v>
      </c>
      <c r="B170" s="108" t="str">
        <f>IF(A170&lt;&gt;"", VLOOKUP(A170,'Danh Sách Tổng KH'!$A$1:$B$547,2,0),"")</f>
        <v>Lê Tuấn Phương</v>
      </c>
      <c r="C170" s="109" t="str">
        <f t="shared" si="0"/>
        <v>Chưa cho lên đơn</v>
      </c>
      <c r="D170" s="110">
        <v>240000</v>
      </c>
      <c r="E170" s="110" t="s">
        <v>86</v>
      </c>
      <c r="F170" s="10" t="s">
        <v>87</v>
      </c>
    </row>
    <row r="171" spans="1:6" ht="16.5" hidden="1">
      <c r="A171" s="124">
        <v>906313959</v>
      </c>
      <c r="B171" s="126" t="str">
        <f>IF(A171&lt;&gt;"", VLOOKUP(A171,'Danh Sách Tổng KH'!$A$1:$B$547,2,0),"")</f>
        <v>Trần Thị Ngọc Hạnh</v>
      </c>
      <c r="C171" s="127" t="s">
        <v>513</v>
      </c>
      <c r="D171" s="125">
        <v>2290000</v>
      </c>
      <c r="E171" s="125" t="s">
        <v>86</v>
      </c>
      <c r="F171" s="10" t="s">
        <v>87</v>
      </c>
    </row>
    <row r="172" spans="1:6" ht="16.5" hidden="1">
      <c r="A172" s="107">
        <v>907101268</v>
      </c>
      <c r="B172" s="108" t="str">
        <f>IF(A172&lt;&gt;"", VLOOKUP(A172,'Danh Sách Tổng KH'!$A$1:$B$547,2,0),"")</f>
        <v>Trần Quốc Đạt</v>
      </c>
      <c r="C172" s="109" t="str">
        <f t="shared" ref="C172:C176" si="1">IF(B172&lt;&gt;"","Chưa cho lên đơn","")</f>
        <v>Chưa cho lên đơn</v>
      </c>
      <c r="D172" s="110">
        <v>150000</v>
      </c>
      <c r="E172" s="110"/>
    </row>
    <row r="173" spans="1:6" ht="16.5" hidden="1">
      <c r="A173" s="107">
        <v>702896623</v>
      </c>
      <c r="B173" s="108" t="str">
        <f>IF(A173&lt;&gt;"", VLOOKUP(A173,'Danh Sách Tổng KH'!$A$1:$B$547,2,0),"")</f>
        <v>Nguyễn Thị Cẩm Vân</v>
      </c>
      <c r="C173" s="109" t="str">
        <f t="shared" si="1"/>
        <v>Chưa cho lên đơn</v>
      </c>
      <c r="D173" s="110">
        <v>250000</v>
      </c>
      <c r="E173" s="110"/>
    </row>
    <row r="174" spans="1:6" ht="16.5" hidden="1">
      <c r="A174" s="107">
        <v>798093807</v>
      </c>
      <c r="B174" s="108" t="str">
        <f>IF(A174&lt;&gt;"", VLOOKUP(A174,'Danh Sách Tổng KH'!$A$1:$B$547,2,0),"")</f>
        <v>Đặng Thị Chi Thơm  798093807</v>
      </c>
      <c r="C174" s="109" t="str">
        <f t="shared" si="1"/>
        <v>Chưa cho lên đơn</v>
      </c>
      <c r="D174" s="110">
        <v>170000</v>
      </c>
      <c r="E174" s="110"/>
    </row>
    <row r="175" spans="1:6" ht="16.5" hidden="1">
      <c r="A175" s="107">
        <v>932856989</v>
      </c>
      <c r="B175" s="108" t="str">
        <f>IF(A175&lt;&gt;"", VLOOKUP(A175,'Danh Sách Tổng KH'!$A$1:$B$547,2,0),"")</f>
        <v>Nguyễn Hữu Nhân p3 Anh Vũ kiu thu tại nhà</v>
      </c>
      <c r="C175" s="109" t="str">
        <f t="shared" si="1"/>
        <v>Chưa cho lên đơn</v>
      </c>
      <c r="D175" s="110">
        <v>90000</v>
      </c>
      <c r="E175" s="110"/>
    </row>
    <row r="176" spans="1:6" ht="16.5" hidden="1">
      <c r="A176" s="107">
        <v>788779798</v>
      </c>
      <c r="B176" s="108" t="str">
        <f>IF(A176&lt;&gt;"", VLOOKUP(A176,'Danh Sách Tổng KH'!$A$1:$B$547,2,0),"")</f>
        <v>Châu Thanh Tân</v>
      </c>
      <c r="C176" s="109" t="str">
        <f t="shared" si="1"/>
        <v>Chưa cho lên đơn</v>
      </c>
      <c r="D176" s="110">
        <v>180000</v>
      </c>
      <c r="E176" s="110"/>
    </row>
    <row r="177" spans="1:6" ht="16.5" hidden="1">
      <c r="A177" s="8">
        <v>907921720</v>
      </c>
      <c r="B177" s="108" t="str">
        <f>IF(A177&lt;&gt;"", VLOOKUP(A177,'Danh Sách Tổng KH'!$A$1:$B$547,2,0),"")</f>
        <v>Đào Thị Yến Nhi</v>
      </c>
      <c r="C177" s="127" t="s">
        <v>514</v>
      </c>
      <c r="D177" s="110">
        <v>110000</v>
      </c>
      <c r="E177" s="110"/>
    </row>
    <row r="178" spans="1:6" ht="16.5" hidden="1">
      <c r="A178" s="8">
        <v>772115354</v>
      </c>
      <c r="B178" s="108" t="str">
        <f>IF(A178&lt;&gt;"", VLOOKUP(A178,'Danh Sách Tổng KH'!$A$1:$B$547,2,0),"")</f>
        <v>Trương Thị Thu Tư</v>
      </c>
      <c r="C178" s="127" t="s">
        <v>514</v>
      </c>
      <c r="D178" s="110">
        <v>110000</v>
      </c>
      <c r="E178" s="110"/>
    </row>
    <row r="179" spans="1:6" ht="16.5" hidden="1">
      <c r="A179" s="8">
        <v>932811939</v>
      </c>
      <c r="B179" s="108" t="str">
        <f>IF(A179&lt;&gt;"", VLOOKUP(A179,'Danh Sách Tổng KH'!$A$1:$B$547,2,0),"")</f>
        <v>Trần Kim Ân</v>
      </c>
      <c r="C179" s="127" t="s">
        <v>514</v>
      </c>
      <c r="D179" s="110">
        <v>160000</v>
      </c>
      <c r="E179" s="110"/>
    </row>
    <row r="180" spans="1:6" ht="16.5" hidden="1">
      <c r="A180" s="8">
        <v>787976362</v>
      </c>
      <c r="B180" s="108" t="str">
        <f>IF(A180&lt;&gt;"", VLOOKUP(A180,'Danh Sách Tổng KH'!$A$1:$B$547,2,0),"")</f>
        <v>Nguyễn Tuấn Tài</v>
      </c>
      <c r="C180" s="127" t="s">
        <v>514</v>
      </c>
      <c r="D180" s="110">
        <v>160000</v>
      </c>
      <c r="E180" s="110"/>
    </row>
    <row r="181" spans="1:6" ht="16.5" hidden="1">
      <c r="A181" s="8">
        <v>907404881</v>
      </c>
      <c r="B181" s="108" t="str">
        <f>IF(A181&lt;&gt;"", VLOOKUP(A181,'Danh Sách Tổng KH'!$A$1:$B$547,2,0),"")</f>
        <v>Nguyễn Thanh Tuyền</v>
      </c>
      <c r="C181" s="127" t="s">
        <v>514</v>
      </c>
      <c r="D181" s="110">
        <v>170000</v>
      </c>
      <c r="E181" s="110"/>
    </row>
    <row r="182" spans="1:6" ht="16.5" hidden="1">
      <c r="A182" s="107">
        <v>939772712</v>
      </c>
      <c r="B182" s="108" t="str">
        <f>IF(A182&lt;&gt;"", VLOOKUP(A182,'Danh Sách Tổng KH'!$A$1:$B$547,2,0),"")</f>
        <v>Tô Hải Vân</v>
      </c>
      <c r="C182" s="109" t="str">
        <f t="shared" ref="C182:C436" si="2">IF(B182&lt;&gt;"","Chưa cho lên đơn","")</f>
        <v>Chưa cho lên đơn</v>
      </c>
      <c r="D182" s="110">
        <v>460000</v>
      </c>
      <c r="E182" s="110" t="s">
        <v>86</v>
      </c>
      <c r="F182" s="10" t="s">
        <v>87</v>
      </c>
    </row>
    <row r="183" spans="1:6" ht="16.5" hidden="1">
      <c r="A183" s="107">
        <v>763993968</v>
      </c>
      <c r="B183" s="108" t="str">
        <f>IF(A183&lt;&gt;"", VLOOKUP(A183,'Danh Sách Tổng KH'!$A$1:$B$547,2,0),"")</f>
        <v>Đinh Tấn Hưng chồ bán Lư</v>
      </c>
      <c r="C183" s="109" t="str">
        <f t="shared" si="2"/>
        <v>Chưa cho lên đơn</v>
      </c>
      <c r="D183" s="110">
        <v>160000</v>
      </c>
      <c r="E183" s="110" t="s">
        <v>86</v>
      </c>
      <c r="F183" s="10" t="s">
        <v>87</v>
      </c>
    </row>
    <row r="184" spans="1:6" ht="16.5" hidden="1">
      <c r="A184" s="107">
        <v>786086878</v>
      </c>
      <c r="B184" s="108" t="str">
        <f>IF(A184&lt;&gt;"", VLOOKUP(A184,'Danh Sách Tổng KH'!$A$1:$B$547,2,0),"")</f>
        <v>Nguyễn Ngọc Tuyết Lan</v>
      </c>
      <c r="C184" s="109" t="str">
        <f t="shared" si="2"/>
        <v>Chưa cho lên đơn</v>
      </c>
      <c r="D184" s="110">
        <v>130000</v>
      </c>
      <c r="E184" s="110" t="s">
        <v>86</v>
      </c>
      <c r="F184" s="10" t="s">
        <v>87</v>
      </c>
    </row>
    <row r="185" spans="1:6" ht="16.5" hidden="1">
      <c r="A185" s="107">
        <v>909825529</v>
      </c>
      <c r="B185" s="108" t="str">
        <f>IF(A185&lt;&gt;"", VLOOKUP(A185,'Danh Sách Tổng KH'!$A$1:$B$547,2,0),"")</f>
        <v>Nguyễn Nhật Phương</v>
      </c>
      <c r="C185" s="109" t="str">
        <f t="shared" si="2"/>
        <v>Chưa cho lên đơn</v>
      </c>
      <c r="D185" s="110">
        <v>190000</v>
      </c>
      <c r="E185" s="110" t="s">
        <v>86</v>
      </c>
      <c r="F185" s="10" t="s">
        <v>87</v>
      </c>
    </row>
    <row r="186" spans="1:6" ht="16.5" hidden="1">
      <c r="A186" s="107">
        <v>939523819</v>
      </c>
      <c r="B186" s="108" t="str">
        <f>IF(A186&lt;&gt;"", VLOOKUP(A186,'Danh Sách Tổng KH'!$A$1:$B$547,2,0),"")</f>
        <v>Lê Tuấn Phương</v>
      </c>
      <c r="C186" s="109" t="str">
        <f t="shared" si="2"/>
        <v>Chưa cho lên đơn</v>
      </c>
      <c r="D186" s="110">
        <v>250000</v>
      </c>
      <c r="E186" s="110" t="s">
        <v>86</v>
      </c>
      <c r="F186" s="10" t="s">
        <v>87</v>
      </c>
    </row>
    <row r="187" spans="1:6" ht="16.5" hidden="1">
      <c r="A187" s="107">
        <v>782818186</v>
      </c>
      <c r="B187" s="108" t="str">
        <f>IF(A187&lt;&gt;"", VLOOKUP(A187,'Danh Sách Tổng KH'!$A$1:$B$547,2,0),"")</f>
        <v>Trần Thị Thuận</v>
      </c>
      <c r="C187" s="109" t="str">
        <f t="shared" si="2"/>
        <v>Chưa cho lên đơn</v>
      </c>
      <c r="D187" s="110">
        <v>150000</v>
      </c>
      <c r="E187" s="110" t="s">
        <v>86</v>
      </c>
      <c r="F187" s="10" t="s">
        <v>87</v>
      </c>
    </row>
    <row r="188" spans="1:6" ht="16.5" hidden="1">
      <c r="A188" s="107">
        <v>909114989</v>
      </c>
      <c r="B188" s="108" t="str">
        <f>IF(A188&lt;&gt;"", VLOOKUP(A188,'Danh Sách Tổng KH'!$A$1:$B$547,2,0),"")</f>
        <v>Trần Thị Thuận</v>
      </c>
      <c r="C188" s="109" t="str">
        <f t="shared" si="2"/>
        <v>Chưa cho lên đơn</v>
      </c>
      <c r="D188" s="110">
        <v>90000</v>
      </c>
      <c r="E188" s="110" t="s">
        <v>86</v>
      </c>
      <c r="F188" s="10" t="s">
        <v>87</v>
      </c>
    </row>
    <row r="189" spans="1:6" ht="16.5" hidden="1">
      <c r="A189" s="107">
        <v>907603189</v>
      </c>
      <c r="B189" s="108" t="str">
        <f>IF(A189&lt;&gt;"", VLOOKUP(A189,'Danh Sách Tổng KH'!$A$1:$B$547,2,0),"")</f>
        <v>Trần Thị Thuận</v>
      </c>
      <c r="C189" s="109" t="str">
        <f t="shared" si="2"/>
        <v>Chưa cho lên đơn</v>
      </c>
      <c r="D189" s="110">
        <v>160000</v>
      </c>
      <c r="E189" s="110" t="s">
        <v>86</v>
      </c>
      <c r="F189" s="10" t="s">
        <v>87</v>
      </c>
    </row>
    <row r="190" spans="1:6" ht="16.5" hidden="1">
      <c r="A190" s="107">
        <v>903887662</v>
      </c>
      <c r="B190" s="108" t="str">
        <f>IF(A190&lt;&gt;"", VLOOKUP(A190,'Danh Sách Tổng KH'!$A$1:$B$547,2,0),"")</f>
        <v>Trần Quang Dũng</v>
      </c>
      <c r="C190" s="109" t="str">
        <f t="shared" si="2"/>
        <v>Chưa cho lên đơn</v>
      </c>
      <c r="D190" s="110">
        <v>50000</v>
      </c>
      <c r="E190" s="110" t="s">
        <v>86</v>
      </c>
      <c r="F190" s="10" t="s">
        <v>87</v>
      </c>
    </row>
    <row r="191" spans="1:6" ht="16.5" hidden="1">
      <c r="A191" s="107">
        <v>939890980</v>
      </c>
      <c r="B191" s="108" t="str">
        <f>IF(A191&lt;&gt;"", VLOOKUP(A191,'Danh Sách Tổng KH'!$A$1:$B$547,2,0),"")</f>
        <v>Nguyễn Thanh Hải Tuấn sắt p3</v>
      </c>
      <c r="C191" s="109" t="str">
        <f t="shared" si="2"/>
        <v>Chưa cho lên đơn</v>
      </c>
      <c r="D191" s="110">
        <v>100000</v>
      </c>
      <c r="E191" s="110" t="s">
        <v>86</v>
      </c>
      <c r="F191" s="10" t="s">
        <v>87</v>
      </c>
    </row>
    <row r="192" spans="1:6" ht="16.5" hidden="1">
      <c r="A192" s="107">
        <v>777292268</v>
      </c>
      <c r="B192" s="108" t="str">
        <f>IF(A192&lt;&gt;"", VLOOKUP(A192,'Danh Sách Tổng KH'!$A$1:$B$547,2,0),"")</f>
        <v>Nguyễn Thị Đan Thanh</v>
      </c>
      <c r="C192" s="109" t="str">
        <f t="shared" si="2"/>
        <v>Chưa cho lên đơn</v>
      </c>
      <c r="D192" s="110">
        <v>110000</v>
      </c>
      <c r="E192" s="110" t="s">
        <v>86</v>
      </c>
      <c r="F192" s="10" t="s">
        <v>87</v>
      </c>
    </row>
    <row r="193" spans="1:6" ht="16.5" hidden="1">
      <c r="A193" s="107">
        <v>907646875</v>
      </c>
      <c r="B193" s="108" t="str">
        <f>IF(A193&lt;&gt;"", VLOOKUP(A193,'Danh Sách Tổng KH'!$A$1:$B$547,2,0),"")</f>
        <v>Nguyễn Thị Đan Thanh</v>
      </c>
      <c r="C193" s="109" t="str">
        <f t="shared" si="2"/>
        <v>Chưa cho lên đơn</v>
      </c>
      <c r="D193" s="110">
        <v>270000</v>
      </c>
      <c r="E193" s="110" t="s">
        <v>86</v>
      </c>
      <c r="F193" s="10" t="s">
        <v>87</v>
      </c>
    </row>
    <row r="194" spans="1:6" ht="16.5" hidden="1">
      <c r="A194" s="107">
        <v>977283949</v>
      </c>
      <c r="B194" s="108" t="str">
        <f>IF(A194&lt;&gt;"", VLOOKUP(A194,'Danh Sách Tổng KH'!$A$1:$B$547,2,0),"")</f>
        <v>Trần Thị Mộng Cầm</v>
      </c>
      <c r="C194" s="109" t="str">
        <f t="shared" si="2"/>
        <v>Chưa cho lên đơn</v>
      </c>
      <c r="D194" s="110">
        <v>190000</v>
      </c>
      <c r="E194" s="110" t="s">
        <v>86</v>
      </c>
      <c r="F194" s="10" t="s">
        <v>87</v>
      </c>
    </row>
    <row r="195" spans="1:6" ht="16.5" hidden="1">
      <c r="A195" s="107">
        <v>939359580</v>
      </c>
      <c r="B195" s="108" t="str">
        <f>IF(A195&lt;&gt;"", VLOOKUP(A195,'Danh Sách Tổng KH'!$A$1:$B$547,2,0),"")</f>
        <v>Trần Thị Mỹ Cầm</v>
      </c>
      <c r="C195" s="109" t="str">
        <f t="shared" si="2"/>
        <v>Chưa cho lên đơn</v>
      </c>
      <c r="D195" s="110">
        <v>260000</v>
      </c>
      <c r="E195" s="110" t="s">
        <v>86</v>
      </c>
      <c r="F195" s="10" t="s">
        <v>87</v>
      </c>
    </row>
    <row r="196" spans="1:6" ht="16.5" hidden="1">
      <c r="A196" s="107">
        <v>939345322</v>
      </c>
      <c r="B196" s="108" t="str">
        <f>IF(A196&lt;&gt;"", VLOOKUP(A196,'Danh Sách Tổng KH'!$A$1:$B$547,2,0),"")</f>
        <v>Sơn Thị Bạch Cúc</v>
      </c>
      <c r="C196" s="109" t="str">
        <f t="shared" si="2"/>
        <v>Chưa cho lên đơn</v>
      </c>
      <c r="D196" s="110">
        <v>10000</v>
      </c>
      <c r="E196" s="110" t="s">
        <v>86</v>
      </c>
      <c r="F196" s="10" t="s">
        <v>87</v>
      </c>
    </row>
    <row r="197" spans="1:6" ht="16.5" hidden="1">
      <c r="A197" s="107">
        <v>899507261</v>
      </c>
      <c r="B197" s="108" t="str">
        <f>IF(A197&lt;&gt;"", VLOOKUP(A197,'Danh Sách Tổng KH'!$A$1:$B$547,2,0),"")</f>
        <v>Nguyễn Thị Mỹ Ngọc</v>
      </c>
      <c r="C197" s="109" t="str">
        <f t="shared" si="2"/>
        <v>Chưa cho lên đơn</v>
      </c>
      <c r="D197" s="110">
        <v>100000</v>
      </c>
      <c r="E197" s="110" t="s">
        <v>86</v>
      </c>
      <c r="F197" s="10" t="s">
        <v>87</v>
      </c>
    </row>
    <row r="198" spans="1:6" ht="16.5" hidden="1">
      <c r="A198" s="107">
        <v>939068963</v>
      </c>
      <c r="B198" s="108" t="str">
        <f>IF(A198&lt;&gt;"", VLOOKUP(A198,'Danh Sách Tổng KH'!$A$1:$B$547,2,0),"")</f>
        <v>Nguyễn Thị Hồng Cúc bãi cọc cầu tân hữu mới</v>
      </c>
      <c r="C198" s="109" t="str">
        <f t="shared" si="2"/>
        <v>Chưa cho lên đơn</v>
      </c>
      <c r="D198" s="110">
        <v>100000</v>
      </c>
      <c r="E198" s="110" t="s">
        <v>86</v>
      </c>
      <c r="F198" s="10" t="s">
        <v>87</v>
      </c>
    </row>
    <row r="199" spans="1:6" ht="16.5" hidden="1">
      <c r="A199" s="107">
        <v>939930030</v>
      </c>
      <c r="B199" s="108" t="str">
        <f>IF(A199&lt;&gt;"", VLOOKUP(A199,'Danh Sách Tổng KH'!$A$1:$B$547,2,0),"")</f>
        <v>Nguyễn Phúc Thiện</v>
      </c>
      <c r="C199" s="109" t="str">
        <f t="shared" si="2"/>
        <v>Chưa cho lên đơn</v>
      </c>
      <c r="D199" s="110">
        <v>150000</v>
      </c>
      <c r="E199" s="110" t="s">
        <v>86</v>
      </c>
      <c r="F199" s="10" t="s">
        <v>87</v>
      </c>
    </row>
    <row r="200" spans="1:6" ht="16.5" hidden="1">
      <c r="A200" s="107">
        <v>704797978</v>
      </c>
      <c r="B200" s="108" t="str">
        <f>IF(A200&lt;&gt;"", VLOOKUP(A200,'Danh Sách Tổng KH'!$A$1:$B$547,2,0),"")</f>
        <v>Võ Văn Kiệt</v>
      </c>
      <c r="C200" s="109" t="str">
        <f t="shared" si="2"/>
        <v>Chưa cho lên đơn</v>
      </c>
      <c r="D200" s="110">
        <v>100000</v>
      </c>
      <c r="E200" s="110" t="s">
        <v>86</v>
      </c>
      <c r="F200" s="10" t="s">
        <v>87</v>
      </c>
    </row>
    <row r="201" spans="1:6" ht="16.5" hidden="1">
      <c r="A201" s="107">
        <v>932919113</v>
      </c>
      <c r="B201" s="108" t="str">
        <f>IF(A201&lt;&gt;"", VLOOKUP(A201,'Danh Sách Tổng KH'!$A$1:$B$547,2,0),"")</f>
        <v>Nguyễn Minh Chí</v>
      </c>
      <c r="C201" s="109" t="str">
        <f t="shared" si="2"/>
        <v>Chưa cho lên đơn</v>
      </c>
      <c r="D201" s="110">
        <v>150000</v>
      </c>
      <c r="E201" s="110" t="s">
        <v>86</v>
      </c>
      <c r="F201" s="10" t="s">
        <v>87</v>
      </c>
    </row>
    <row r="202" spans="1:6" ht="16.5" hidden="1">
      <c r="A202" s="107">
        <v>907880007</v>
      </c>
      <c r="B202" s="108" t="str">
        <f>IF(A202&lt;&gt;"", VLOOKUP(A202,'Danh Sách Tổng KH'!$A$1:$B$547,2,0),"")</f>
        <v>Võ Văn Kiệt</v>
      </c>
      <c r="C202" s="109" t="str">
        <f t="shared" si="2"/>
        <v>Chưa cho lên đơn</v>
      </c>
      <c r="D202" s="110">
        <v>250000</v>
      </c>
      <c r="E202" s="110" t="s">
        <v>86</v>
      </c>
      <c r="F202" s="10" t="s">
        <v>87</v>
      </c>
    </row>
    <row r="203" spans="1:6" ht="16.5" hidden="1">
      <c r="A203" s="107">
        <v>937456721</v>
      </c>
      <c r="B203" s="108" t="str">
        <f>IF(A203&lt;&gt;"", VLOOKUP(A203,'Danh Sách Tổng KH'!$A$1:$B$547,2,0),"")</f>
        <v>Nguyễn Hoàng Nhật</v>
      </c>
      <c r="C203" s="109" t="str">
        <f t="shared" si="2"/>
        <v>Chưa cho lên đơn</v>
      </c>
      <c r="D203" s="110">
        <v>300000</v>
      </c>
      <c r="E203" s="110" t="s">
        <v>86</v>
      </c>
      <c r="F203" s="10" t="s">
        <v>87</v>
      </c>
    </row>
    <row r="204" spans="1:6" ht="16.5" hidden="1">
      <c r="A204" s="107">
        <v>794377343</v>
      </c>
      <c r="B204" s="108" t="str">
        <f>IF(A204&lt;&gt;"", VLOOKUP(A204,'Danh Sách Tổng KH'!$A$1:$B$547,2,0),"")</f>
        <v>Lê Minh Tiến</v>
      </c>
      <c r="C204" s="109" t="str">
        <f t="shared" si="2"/>
        <v>Chưa cho lên đơn</v>
      </c>
      <c r="D204" s="110">
        <v>170000</v>
      </c>
      <c r="E204" s="110"/>
      <c r="F204" s="10" t="s">
        <v>515</v>
      </c>
    </row>
    <row r="205" spans="1:6" ht="16.5" hidden="1">
      <c r="A205" s="107">
        <v>776566606</v>
      </c>
      <c r="B205" s="108" t="str">
        <f>IF(A205&lt;&gt;"", VLOOKUP(A205,'Danh Sách Tổng KH'!$A$1:$B$547,2,0),"")</f>
        <v>Phan Phi Sơn</v>
      </c>
      <c r="C205" s="109" t="str">
        <f t="shared" si="2"/>
        <v>Chưa cho lên đơn</v>
      </c>
      <c r="D205" s="110">
        <v>50000</v>
      </c>
      <c r="E205" s="110"/>
    </row>
    <row r="206" spans="1:6" ht="16.5" hidden="1">
      <c r="A206" s="107">
        <v>939697351</v>
      </c>
      <c r="B206" s="108" t="str">
        <f>IF(A206&lt;&gt;"", VLOOKUP(A206,'Danh Sách Tổng KH'!$A$1:$B$547,2,0),"")</f>
        <v>Mai Ngọc Phương</v>
      </c>
      <c r="C206" s="109" t="str">
        <f t="shared" si="2"/>
        <v>Chưa cho lên đơn</v>
      </c>
      <c r="D206" s="110">
        <v>100000</v>
      </c>
      <c r="E206" s="110"/>
    </row>
    <row r="207" spans="1:6" ht="16.5" hidden="1">
      <c r="A207" s="107">
        <v>931788138</v>
      </c>
      <c r="B207" s="108" t="str">
        <f>IF(A207&lt;&gt;"", VLOOKUP(A207,'Danh Sách Tổng KH'!$A$1:$B$547,2,0),"")</f>
        <v>Nguyễn Văn Út buncoffe</v>
      </c>
      <c r="C207" s="109" t="str">
        <f t="shared" si="2"/>
        <v>Chưa cho lên đơn</v>
      </c>
      <c r="D207" s="110">
        <v>150000</v>
      </c>
      <c r="E207" s="110"/>
    </row>
    <row r="208" spans="1:6" ht="16.5" hidden="1">
      <c r="A208" s="107">
        <v>939433559</v>
      </c>
      <c r="B208" s="108" t="str">
        <f>IF(A208&lt;&gt;"", VLOOKUP(A208,'Danh Sách Tổng KH'!$A$1:$B$547,2,0),"")</f>
        <v>Bùi Thanh Nhân</v>
      </c>
      <c r="C208" s="109" t="str">
        <f t="shared" si="2"/>
        <v>Chưa cho lên đơn</v>
      </c>
      <c r="D208" s="110">
        <v>160000</v>
      </c>
      <c r="E208" s="110"/>
    </row>
    <row r="209" spans="1:6" ht="16.5" hidden="1">
      <c r="A209" s="107">
        <v>797772929</v>
      </c>
      <c r="B209" s="108" t="str">
        <f>IF(A209&lt;&gt;"", VLOOKUP(A209,'Danh Sách Tổng KH'!$A$1:$B$547,2,0),"")</f>
        <v>Huỳnh Đặng Văn Minh</v>
      </c>
      <c r="C209" s="109" t="str">
        <f t="shared" si="2"/>
        <v>Chưa cho lên đơn</v>
      </c>
      <c r="D209" s="110">
        <v>160000</v>
      </c>
      <c r="E209" s="110"/>
    </row>
    <row r="210" spans="1:6" ht="16.5" hidden="1">
      <c r="A210" s="107">
        <v>939396063</v>
      </c>
      <c r="B210" s="108" t="str">
        <f>IF(A210&lt;&gt;"", VLOOKUP(A210,'Danh Sách Tổng KH'!$A$1:$B$547,2,0),"")</f>
        <v>Trần Quốc Tính</v>
      </c>
      <c r="C210" s="109" t="str">
        <f t="shared" si="2"/>
        <v>Chưa cho lên đơn</v>
      </c>
      <c r="D210" s="110">
        <v>160000</v>
      </c>
      <c r="E210" s="110"/>
    </row>
    <row r="211" spans="1:6" ht="16.5" hidden="1">
      <c r="A211" s="107">
        <v>907101268</v>
      </c>
      <c r="B211" s="108" t="str">
        <f>IF(A211&lt;&gt;"", VLOOKUP(A211,'Danh Sách Tổng KH'!$A$1:$B$547,2,0),"")</f>
        <v>Trần Quốc Đạt</v>
      </c>
      <c r="C211" s="109" t="str">
        <f t="shared" si="2"/>
        <v>Chưa cho lên đơn</v>
      </c>
      <c r="D211" s="110">
        <v>190000</v>
      </c>
      <c r="E211" s="110"/>
    </row>
    <row r="212" spans="1:6" ht="16.5" hidden="1">
      <c r="A212" s="107">
        <v>939618156</v>
      </c>
      <c r="B212" s="108" t="str">
        <f>IF(A212&lt;&gt;"", VLOOKUP(A212,'Danh Sách Tổng KH'!$A$1:$B$547,2,0),"")</f>
        <v>Lữ Ngọc Thảo</v>
      </c>
      <c r="C212" s="109" t="str">
        <f t="shared" si="2"/>
        <v>Chưa cho lên đơn</v>
      </c>
      <c r="D212" s="110">
        <v>150000</v>
      </c>
      <c r="E212" s="110" t="s">
        <v>86</v>
      </c>
      <c r="F212" s="10" t="s">
        <v>87</v>
      </c>
    </row>
    <row r="213" spans="1:6" ht="16.5" hidden="1">
      <c r="A213" s="107">
        <v>939979101</v>
      </c>
      <c r="B213" s="108" t="str">
        <f>IF(A213&lt;&gt;"", VLOOKUP(A213,'Danh Sách Tổng KH'!$A$1:$B$547,2,0),"")</f>
        <v>Lê Nguyễn Hồng Nhung</v>
      </c>
      <c r="C213" s="109" t="str">
        <f t="shared" si="2"/>
        <v>Chưa cho lên đơn</v>
      </c>
      <c r="D213" s="110">
        <v>160000</v>
      </c>
      <c r="E213" s="110" t="s">
        <v>86</v>
      </c>
      <c r="F213" s="10" t="s">
        <v>87</v>
      </c>
    </row>
    <row r="214" spans="1:6" ht="16.5" hidden="1">
      <c r="A214" s="107">
        <v>907880091</v>
      </c>
      <c r="B214" s="108" t="str">
        <f>IF(A214&lt;&gt;"", VLOOKUP(A214,'Danh Sách Tổng KH'!$A$1:$B$547,2,0),"")</f>
        <v>Lê Nguyễn Hồng Nhung</v>
      </c>
      <c r="C214" s="109" t="str">
        <f t="shared" si="2"/>
        <v>Chưa cho lên đơn</v>
      </c>
      <c r="D214" s="110">
        <v>160000</v>
      </c>
      <c r="E214" s="110" t="s">
        <v>86</v>
      </c>
      <c r="F214" s="10" t="s">
        <v>87</v>
      </c>
    </row>
    <row r="215" spans="1:6" ht="16.5" hidden="1">
      <c r="A215" s="107">
        <v>776566606</v>
      </c>
      <c r="B215" s="108" t="str">
        <f>IF(A215&lt;&gt;"", VLOOKUP(A215,'Danh Sách Tổng KH'!$A$1:$B$547,2,0),"")</f>
        <v>Phan Phi Sơn</v>
      </c>
      <c r="C215" s="109" t="str">
        <f t="shared" si="2"/>
        <v>Chưa cho lên đơn</v>
      </c>
      <c r="D215" s="110">
        <v>100000</v>
      </c>
      <c r="E215" s="110" t="s">
        <v>86</v>
      </c>
      <c r="F215" s="10" t="s">
        <v>87</v>
      </c>
    </row>
    <row r="216" spans="1:6" ht="16.5" hidden="1">
      <c r="A216" s="107">
        <v>782818186</v>
      </c>
      <c r="B216" s="108" t="str">
        <f>IF(A216&lt;&gt;"", VLOOKUP(A216,'Danh Sách Tổng KH'!$A$1:$B$547,2,0),"")</f>
        <v>Trần Thị Thuận</v>
      </c>
      <c r="C216" s="109" t="str">
        <f t="shared" si="2"/>
        <v>Chưa cho lên đơn</v>
      </c>
      <c r="D216" s="110">
        <v>150000</v>
      </c>
      <c r="E216" s="110" t="s">
        <v>86</v>
      </c>
      <c r="F216" s="10" t="s">
        <v>87</v>
      </c>
    </row>
    <row r="217" spans="1:6" ht="16.5" hidden="1">
      <c r="A217" s="107">
        <v>907603189</v>
      </c>
      <c r="B217" s="108" t="str">
        <f>IF(A217&lt;&gt;"", VLOOKUP(A217,'Danh Sách Tổng KH'!$A$1:$B$547,2,0),"")</f>
        <v>Trần Thị Thuận</v>
      </c>
      <c r="C217" s="109" t="str">
        <f t="shared" si="2"/>
        <v>Chưa cho lên đơn</v>
      </c>
      <c r="D217" s="110">
        <v>170000</v>
      </c>
      <c r="E217" s="110" t="s">
        <v>86</v>
      </c>
      <c r="F217" s="10" t="s">
        <v>87</v>
      </c>
    </row>
    <row r="218" spans="1:6" ht="16.5" hidden="1">
      <c r="A218" s="107">
        <v>909114989</v>
      </c>
      <c r="B218" s="108" t="str">
        <f>IF(A218&lt;&gt;"", VLOOKUP(A218,'Danh Sách Tổng KH'!$A$1:$B$547,2,0),"")</f>
        <v>Trần Thị Thuận</v>
      </c>
      <c r="C218" s="109" t="str">
        <f t="shared" si="2"/>
        <v>Chưa cho lên đơn</v>
      </c>
      <c r="D218" s="110">
        <v>250000</v>
      </c>
      <c r="E218" s="110" t="s">
        <v>86</v>
      </c>
      <c r="F218" s="10" t="s">
        <v>87</v>
      </c>
    </row>
    <row r="219" spans="1:6" ht="16.5" hidden="1">
      <c r="A219" s="107">
        <v>939772712</v>
      </c>
      <c r="B219" s="108" t="str">
        <f>IF(A219&lt;&gt;"", VLOOKUP(A219,'Danh Sách Tổng KH'!$A$1:$B$547,2,0),"")</f>
        <v>Tô Hải Vân</v>
      </c>
      <c r="C219" s="109" t="str">
        <f t="shared" si="2"/>
        <v>Chưa cho lên đơn</v>
      </c>
      <c r="D219" s="110">
        <v>450000</v>
      </c>
      <c r="E219" s="110" t="s">
        <v>86</v>
      </c>
      <c r="F219" s="10" t="s">
        <v>87</v>
      </c>
    </row>
    <row r="220" spans="1:6" ht="16.5" hidden="1">
      <c r="A220" s="107">
        <v>939890980</v>
      </c>
      <c r="B220" s="108" t="str">
        <f>IF(A220&lt;&gt;"", VLOOKUP(A220,'Danh Sách Tổng KH'!$A$1:$B$547,2,0),"")</f>
        <v>Nguyễn Thanh Hải Tuấn sắt p3</v>
      </c>
      <c r="C220" s="109" t="str">
        <f t="shared" si="2"/>
        <v>Chưa cho lên đơn</v>
      </c>
      <c r="D220" s="110">
        <v>110000</v>
      </c>
      <c r="E220" s="110" t="s">
        <v>86</v>
      </c>
      <c r="F220" s="10" t="s">
        <v>87</v>
      </c>
    </row>
    <row r="221" spans="1:6" ht="16.5" hidden="1">
      <c r="A221" s="107">
        <v>939359580</v>
      </c>
      <c r="B221" s="108" t="str">
        <f>IF(A221&lt;&gt;"", VLOOKUP(A221,'Danh Sách Tổng KH'!$A$1:$B$547,2,0),"")</f>
        <v>Trần Thị Mỹ Cầm</v>
      </c>
      <c r="C221" s="109" t="str">
        <f t="shared" si="2"/>
        <v>Chưa cho lên đơn</v>
      </c>
      <c r="D221" s="110">
        <v>260000</v>
      </c>
      <c r="E221" s="110" t="s">
        <v>86</v>
      </c>
      <c r="F221" s="10" t="s">
        <v>87</v>
      </c>
    </row>
    <row r="222" spans="1:6" ht="16.5" hidden="1">
      <c r="A222" s="107">
        <v>977283949</v>
      </c>
      <c r="B222" s="108" t="str">
        <f>IF(A222&lt;&gt;"", VLOOKUP(A222,'Danh Sách Tổng KH'!$A$1:$B$547,2,0),"")</f>
        <v>Trần Thị Mộng Cầm</v>
      </c>
      <c r="C222" s="109" t="str">
        <f t="shared" si="2"/>
        <v>Chưa cho lên đơn</v>
      </c>
      <c r="D222" s="110">
        <v>300000</v>
      </c>
      <c r="E222" s="110" t="s">
        <v>86</v>
      </c>
      <c r="F222" s="10" t="s">
        <v>87</v>
      </c>
    </row>
    <row r="223" spans="1:6" ht="16.5" hidden="1">
      <c r="A223" s="107">
        <v>937456721</v>
      </c>
      <c r="B223" s="108" t="str">
        <f>IF(A223&lt;&gt;"", VLOOKUP(A223,'Danh Sách Tổng KH'!$A$1:$B$547,2,0),"")</f>
        <v>Nguyễn Hoàng Nhật</v>
      </c>
      <c r="C223" s="109" t="str">
        <f t="shared" si="2"/>
        <v>Chưa cho lên đơn</v>
      </c>
      <c r="D223" s="110">
        <v>310000</v>
      </c>
      <c r="E223" s="110" t="s">
        <v>86</v>
      </c>
      <c r="F223" s="10" t="s">
        <v>87</v>
      </c>
    </row>
    <row r="224" spans="1:6" ht="16.5" hidden="1">
      <c r="A224" s="107">
        <v>778112338</v>
      </c>
      <c r="B224" s="108" t="str">
        <f>IF(A224&lt;&gt;"", VLOOKUP(A224,'Danh Sách Tổng KH'!$A$1:$B$547,2,0),"")</f>
        <v>Huỳnh Thành Phước</v>
      </c>
      <c r="C224" s="109" t="str">
        <f t="shared" si="2"/>
        <v>Chưa cho lên đơn</v>
      </c>
      <c r="D224" s="110">
        <v>350000</v>
      </c>
      <c r="E224" s="110" t="s">
        <v>86</v>
      </c>
      <c r="F224" s="10" t="s">
        <v>87</v>
      </c>
    </row>
    <row r="225" spans="1:6" ht="16.5" hidden="1">
      <c r="A225" s="107">
        <v>777292268</v>
      </c>
      <c r="B225" s="108" t="str">
        <f>IF(A225&lt;&gt;"", VLOOKUP(A225,'Danh Sách Tổng KH'!$A$1:$B$547,2,0),"")</f>
        <v>Nguyễn Thị Đan Thanh</v>
      </c>
      <c r="C225" s="109" t="str">
        <f t="shared" si="2"/>
        <v>Chưa cho lên đơn</v>
      </c>
      <c r="D225" s="110">
        <v>110000</v>
      </c>
      <c r="E225" s="110" t="s">
        <v>86</v>
      </c>
      <c r="F225" s="10" t="s">
        <v>87</v>
      </c>
    </row>
    <row r="226" spans="1:6" ht="16.5" hidden="1">
      <c r="A226" s="107">
        <v>939345322</v>
      </c>
      <c r="B226" s="108" t="str">
        <f>IF(A226&lt;&gt;"", VLOOKUP(A226,'Danh Sách Tổng KH'!$A$1:$B$547,2,0),"")</f>
        <v>Sơn Thị Bạch Cúc</v>
      </c>
      <c r="C226" s="109" t="str">
        <f t="shared" si="2"/>
        <v>Chưa cho lên đơn</v>
      </c>
      <c r="D226" s="110">
        <v>110000</v>
      </c>
      <c r="E226" s="110" t="s">
        <v>86</v>
      </c>
      <c r="F226" s="10" t="s">
        <v>87</v>
      </c>
    </row>
    <row r="227" spans="1:6" ht="16.5" hidden="1">
      <c r="A227" s="107">
        <v>774019919</v>
      </c>
      <c r="B227" s="108" t="str">
        <f>IF(A227&lt;&gt;"", VLOOKUP(A227,'Danh Sách Tổng KH'!$A$1:$B$547,2,0),"")</f>
        <v>Võ Minh Anh dia ban Ci Nguyet khu kim cuong</v>
      </c>
      <c r="C227" s="109" t="str">
        <f t="shared" si="2"/>
        <v>Chưa cho lên đơn</v>
      </c>
      <c r="D227" s="110">
        <v>160000</v>
      </c>
      <c r="E227" s="110" t="s">
        <v>86</v>
      </c>
      <c r="F227" s="10" t="s">
        <v>87</v>
      </c>
    </row>
    <row r="228" spans="1:6" ht="16.5" hidden="1">
      <c r="A228" s="107">
        <v>939969498</v>
      </c>
      <c r="B228" s="108" t="str">
        <f>IF(A228&lt;&gt;"", VLOOKUP(A228,'Danh Sách Tổng KH'!$A$1:$B$547,2,0),"")</f>
        <v>HỘ KINH DOANH RIO</v>
      </c>
      <c r="C228" s="109" t="str">
        <f t="shared" si="2"/>
        <v>Chưa cho lên đơn</v>
      </c>
      <c r="D228" s="110">
        <v>270000</v>
      </c>
      <c r="E228" s="110" t="s">
        <v>86</v>
      </c>
      <c r="F228" s="10" t="s">
        <v>87</v>
      </c>
    </row>
    <row r="229" spans="1:6" ht="16.5" hidden="1">
      <c r="A229" s="107">
        <v>907646875</v>
      </c>
      <c r="B229" s="108" t="str">
        <f>IF(A229&lt;&gt;"", VLOOKUP(A229,'Danh Sách Tổng KH'!$A$1:$B$547,2,0),"")</f>
        <v>Nguyễn Thị Đan Thanh</v>
      </c>
      <c r="C229" s="109" t="str">
        <f t="shared" si="2"/>
        <v>Chưa cho lên đơn</v>
      </c>
      <c r="D229" s="110">
        <v>280000</v>
      </c>
      <c r="E229" s="110" t="s">
        <v>86</v>
      </c>
      <c r="F229" s="10" t="s">
        <v>87</v>
      </c>
    </row>
    <row r="230" spans="1:6" ht="16.5" hidden="1">
      <c r="A230" s="107">
        <v>899507261</v>
      </c>
      <c r="B230" s="108" t="str">
        <f>IF(A230&lt;&gt;"", VLOOKUP(A230,'Danh Sách Tổng KH'!$A$1:$B$547,2,0),"")</f>
        <v>Nguyễn Thị Mỹ Ngọc</v>
      </c>
      <c r="C230" s="109" t="str">
        <f t="shared" si="2"/>
        <v>Chưa cho lên đơn</v>
      </c>
      <c r="D230" s="110">
        <v>100000</v>
      </c>
      <c r="E230" s="110" t="s">
        <v>86</v>
      </c>
      <c r="F230" s="10" t="s">
        <v>87</v>
      </c>
    </row>
    <row r="231" spans="1:6" ht="16.5" hidden="1">
      <c r="A231" s="107">
        <v>939930030</v>
      </c>
      <c r="B231" s="108" t="str">
        <f>IF(A231&lt;&gt;"", VLOOKUP(A231,'Danh Sách Tổng KH'!$A$1:$B$547,2,0),"")</f>
        <v>Nguyễn Phúc Thiện</v>
      </c>
      <c r="C231" s="109" t="str">
        <f t="shared" si="2"/>
        <v>Chưa cho lên đơn</v>
      </c>
      <c r="D231" s="110">
        <v>150000</v>
      </c>
      <c r="E231" s="110" t="s">
        <v>86</v>
      </c>
      <c r="F231" s="10" t="s">
        <v>87</v>
      </c>
    </row>
    <row r="232" spans="1:6" ht="16.5" hidden="1">
      <c r="A232" s="107">
        <v>794335363</v>
      </c>
      <c r="B232" s="108" t="str">
        <f>IF(A232&lt;&gt;"", VLOOKUP(A232,'Danh Sách Tổng KH'!$A$1:$B$547,2,0),"")</f>
        <v>Trần Ngô Anh Thư</v>
      </c>
      <c r="C232" s="109" t="str">
        <f t="shared" si="2"/>
        <v>Chưa cho lên đơn</v>
      </c>
      <c r="D232" s="110">
        <v>170000</v>
      </c>
      <c r="E232" s="110" t="s">
        <v>86</v>
      </c>
      <c r="F232" s="10" t="s">
        <v>87</v>
      </c>
    </row>
    <row r="233" spans="1:6" ht="16.5" hidden="1">
      <c r="A233" s="107">
        <v>704797978</v>
      </c>
      <c r="B233" s="108" t="str">
        <f>IF(A233&lt;&gt;"", VLOOKUP(A233,'Danh Sách Tổng KH'!$A$1:$B$547,2,0),"")</f>
        <v>Võ Văn Kiệt</v>
      </c>
      <c r="C233" s="109" t="str">
        <f t="shared" si="2"/>
        <v>Chưa cho lên đơn</v>
      </c>
      <c r="D233" s="110">
        <v>200000</v>
      </c>
      <c r="E233" s="110" t="s">
        <v>86</v>
      </c>
      <c r="F233" s="10" t="s">
        <v>87</v>
      </c>
    </row>
    <row r="234" spans="1:6" ht="16.5" hidden="1">
      <c r="A234" s="107">
        <v>907880007</v>
      </c>
      <c r="B234" s="108" t="str">
        <f>IF(A234&lt;&gt;"", VLOOKUP(A234,'Danh Sách Tổng KH'!$A$1:$B$547,2,0),"")</f>
        <v>Võ Văn Kiệt</v>
      </c>
      <c r="C234" s="109" t="str">
        <f t="shared" si="2"/>
        <v>Chưa cho lên đơn</v>
      </c>
      <c r="D234" s="110">
        <v>500000</v>
      </c>
      <c r="E234" s="110" t="s">
        <v>86</v>
      </c>
      <c r="F234" s="10" t="s">
        <v>87</v>
      </c>
    </row>
    <row r="235" spans="1:6" ht="16.5" hidden="1">
      <c r="A235" s="107">
        <v>907989874</v>
      </c>
      <c r="B235" s="108" t="str">
        <f>IF(A235&lt;&gt;"", VLOOKUP(A235,'Danh Sách Tổng KH'!$A$1:$B$547,2,0),"")</f>
        <v>Lâm Sơn Hiếu</v>
      </c>
      <c r="C235" s="109" t="str">
        <f t="shared" si="2"/>
        <v>Chưa cho lên đơn</v>
      </c>
      <c r="D235" s="110">
        <v>100000</v>
      </c>
      <c r="E235" s="110" t="s">
        <v>86</v>
      </c>
    </row>
    <row r="236" spans="1:6" ht="16.5" hidden="1">
      <c r="A236" s="107">
        <v>939290113</v>
      </c>
      <c r="B236" s="108" t="str">
        <f>IF(A236&lt;&gt;"", VLOOKUP(A236,'Danh Sách Tổng KH'!$A$1:$B$547,2,0),"")</f>
        <v>Hà Thị Ngọc Hà</v>
      </c>
      <c r="C236" s="109" t="str">
        <f t="shared" si="2"/>
        <v>Chưa cho lên đơn</v>
      </c>
      <c r="D236" s="110">
        <v>150000</v>
      </c>
      <c r="E236" s="110" t="s">
        <v>86</v>
      </c>
    </row>
    <row r="237" spans="1:6" ht="16.5" hidden="1">
      <c r="A237" s="107">
        <v>939523819</v>
      </c>
      <c r="B237" s="108" t="str">
        <f>IF(A237&lt;&gt;"", VLOOKUP(A237,'Danh Sách Tổng KH'!$A$1:$B$547,2,0),"")</f>
        <v>Lê Tuấn Phương</v>
      </c>
      <c r="C237" s="109" t="str">
        <f t="shared" si="2"/>
        <v>Chưa cho lên đơn</v>
      </c>
      <c r="D237" s="110">
        <v>240000</v>
      </c>
      <c r="E237" s="110" t="s">
        <v>86</v>
      </c>
    </row>
    <row r="238" spans="1:6" ht="16.5" hidden="1">
      <c r="A238" s="107">
        <v>907404881</v>
      </c>
      <c r="B238" s="108" t="str">
        <f>IF(A238&lt;&gt;"", VLOOKUP(A238,'Danh Sách Tổng KH'!$A$1:$B$547,2,0),"")</f>
        <v>Nguyễn Thanh Tuyền</v>
      </c>
      <c r="C238" s="109" t="str">
        <f t="shared" si="2"/>
        <v>Chưa cho lên đơn</v>
      </c>
      <c r="D238" s="110">
        <v>170000</v>
      </c>
      <c r="E238" s="110" t="s">
        <v>86</v>
      </c>
    </row>
    <row r="239" spans="1:6" ht="16.5" hidden="1">
      <c r="A239" s="107">
        <v>939068963</v>
      </c>
      <c r="B239" s="108" t="str">
        <f>IF(A239&lt;&gt;"", VLOOKUP(A239,'Danh Sách Tổng KH'!$A$1:$B$547,2,0),"")</f>
        <v>Nguyễn Thị Hồng Cúc bãi cọc cầu tân hữu mới</v>
      </c>
      <c r="C239" s="109" t="str">
        <f t="shared" si="2"/>
        <v>Chưa cho lên đơn</v>
      </c>
      <c r="D239" s="110">
        <v>100000</v>
      </c>
      <c r="E239" s="110" t="s">
        <v>86</v>
      </c>
    </row>
    <row r="240" spans="1:6" ht="16.5" hidden="1">
      <c r="A240" s="107">
        <v>795904378</v>
      </c>
      <c r="B240" s="108" t="str">
        <f>IF(A240&lt;&gt;"", VLOOKUP(A240,'Danh Sách Tổng KH'!$A$1:$B$547,2,0),"")</f>
        <v>Nguyễn Đặng Thanh Hằng heo sẻo đậu</v>
      </c>
      <c r="C240" s="109" t="str">
        <f t="shared" si="2"/>
        <v>Chưa cho lên đơn</v>
      </c>
      <c r="D240" s="110">
        <v>160000</v>
      </c>
      <c r="E240" s="110"/>
    </row>
    <row r="241" spans="1:6" ht="16.5" hidden="1">
      <c r="A241" s="107">
        <v>788779798</v>
      </c>
      <c r="B241" s="108" t="str">
        <f>IF(A241&lt;&gt;"", VLOOKUP(A241,'Danh Sách Tổng KH'!$A$1:$B$547,2,0),"")</f>
        <v>Châu Thanh Tân</v>
      </c>
      <c r="C241" s="109" t="str">
        <f t="shared" si="2"/>
        <v>Chưa cho lên đơn</v>
      </c>
      <c r="D241" s="110">
        <v>280000</v>
      </c>
      <c r="E241" s="110"/>
    </row>
    <row r="242" spans="1:6" ht="16.5" hidden="1">
      <c r="A242" s="107">
        <v>932919113</v>
      </c>
      <c r="B242" s="108" t="str">
        <f>IF(A242&lt;&gt;"", VLOOKUP(A242,'Danh Sách Tổng KH'!$A$1:$B$547,2,0),"")</f>
        <v>Nguyễn Minh Chí</v>
      </c>
      <c r="C242" s="109" t="str">
        <f t="shared" si="2"/>
        <v>Chưa cho lên đơn</v>
      </c>
      <c r="D242" s="110">
        <v>310000</v>
      </c>
      <c r="E242" s="110"/>
    </row>
    <row r="243" spans="1:6" ht="16.5" hidden="1">
      <c r="A243" s="107">
        <v>931010215</v>
      </c>
      <c r="B243" s="108" t="str">
        <f>IF(A243&lt;&gt;"", VLOOKUP(A243,'Danh Sách Tổng KH'!$A$1:$B$547,2,0),"")</f>
        <v>Nguyễn Thành Công</v>
      </c>
      <c r="C243" s="109" t="str">
        <f t="shared" si="2"/>
        <v>Chưa cho lên đơn</v>
      </c>
      <c r="D243" s="110">
        <v>100000</v>
      </c>
      <c r="E243" s="110"/>
    </row>
    <row r="244" spans="1:6" ht="16.5" hidden="1">
      <c r="A244" s="107">
        <v>939772712</v>
      </c>
      <c r="B244" s="108" t="str">
        <f>IF(A244&lt;&gt;"", VLOOKUP(A244,'Danh Sách Tổng KH'!$A$1:$B$547,2,0),"")</f>
        <v>Tô Hải Vân</v>
      </c>
      <c r="C244" s="109" t="str">
        <f t="shared" si="2"/>
        <v>Chưa cho lên đơn</v>
      </c>
      <c r="D244" s="110">
        <v>420000</v>
      </c>
      <c r="E244" s="110" t="s">
        <v>86</v>
      </c>
      <c r="F244" s="10" t="s">
        <v>87</v>
      </c>
    </row>
    <row r="245" spans="1:6" ht="16.5" hidden="1">
      <c r="A245" s="107">
        <v>939979101</v>
      </c>
      <c r="B245" s="108" t="str">
        <f>IF(A245&lt;&gt;"", VLOOKUP(A245,'Danh Sách Tổng KH'!$A$1:$B$547,2,0),"")</f>
        <v>Lê Nguyễn Hồng Nhung</v>
      </c>
      <c r="C245" s="109" t="str">
        <f t="shared" si="2"/>
        <v>Chưa cho lên đơn</v>
      </c>
      <c r="D245" s="110">
        <v>160000</v>
      </c>
      <c r="E245" s="110" t="s">
        <v>86</v>
      </c>
      <c r="F245" s="10" t="s">
        <v>87</v>
      </c>
    </row>
    <row r="246" spans="1:6" ht="16.5" hidden="1">
      <c r="A246" s="107">
        <v>907880091</v>
      </c>
      <c r="B246" s="108" t="str">
        <f>IF(A246&lt;&gt;"", VLOOKUP(A246,'Danh Sách Tổng KH'!$A$1:$B$547,2,0),"")</f>
        <v>Lê Nguyễn Hồng Nhung</v>
      </c>
      <c r="C246" s="109" t="str">
        <f t="shared" si="2"/>
        <v>Chưa cho lên đơn</v>
      </c>
      <c r="D246" s="110">
        <v>160000</v>
      </c>
      <c r="E246" s="110" t="s">
        <v>86</v>
      </c>
      <c r="F246" s="10" t="s">
        <v>87</v>
      </c>
    </row>
    <row r="247" spans="1:6" ht="16.5" hidden="1">
      <c r="A247" s="107">
        <v>782818186</v>
      </c>
      <c r="B247" s="108" t="str">
        <f>IF(A247&lt;&gt;"", VLOOKUP(A247,'Danh Sách Tổng KH'!$A$1:$B$547,2,0),"")</f>
        <v>Trần Thị Thuận</v>
      </c>
      <c r="C247" s="109" t="str">
        <f t="shared" si="2"/>
        <v>Chưa cho lên đơn</v>
      </c>
      <c r="D247" s="110">
        <v>150000</v>
      </c>
      <c r="E247" s="110" t="s">
        <v>86</v>
      </c>
      <c r="F247" s="10" t="s">
        <v>87</v>
      </c>
    </row>
    <row r="248" spans="1:6" ht="16.5" hidden="1">
      <c r="A248" s="107">
        <v>909114989</v>
      </c>
      <c r="B248" s="108" t="str">
        <f>IF(A248&lt;&gt;"", VLOOKUP(A248,'Danh Sách Tổng KH'!$A$1:$B$547,2,0),"")</f>
        <v>Trần Thị Thuận</v>
      </c>
      <c r="C248" s="109" t="str">
        <f t="shared" si="2"/>
        <v>Chưa cho lên đơn</v>
      </c>
      <c r="D248" s="110">
        <v>260000</v>
      </c>
      <c r="E248" s="110" t="s">
        <v>86</v>
      </c>
      <c r="F248" s="10" t="s">
        <v>87</v>
      </c>
    </row>
    <row r="249" spans="1:6" ht="16.5" hidden="1">
      <c r="A249" s="107">
        <v>907603189</v>
      </c>
      <c r="B249" s="108" t="str">
        <f>IF(A249&lt;&gt;"", VLOOKUP(A249,'Danh Sách Tổng KH'!$A$1:$B$547,2,0),"")</f>
        <v>Trần Thị Thuận</v>
      </c>
      <c r="C249" s="109" t="str">
        <f t="shared" si="2"/>
        <v>Chưa cho lên đơn</v>
      </c>
      <c r="D249" s="110">
        <v>160000</v>
      </c>
      <c r="E249" s="110" t="s">
        <v>86</v>
      </c>
      <c r="F249" s="10" t="s">
        <v>87</v>
      </c>
    </row>
    <row r="250" spans="1:6" ht="16.5" hidden="1">
      <c r="A250" s="107">
        <v>977283949</v>
      </c>
      <c r="B250" s="108" t="str">
        <f>IF(A250&lt;&gt;"", VLOOKUP(A250,'Danh Sách Tổng KH'!$A$1:$B$547,2,0),"")</f>
        <v>Trần Thị Mộng Cầm</v>
      </c>
      <c r="C250" s="109" t="str">
        <f t="shared" si="2"/>
        <v>Chưa cho lên đơn</v>
      </c>
      <c r="D250" s="110">
        <v>190000</v>
      </c>
      <c r="E250" s="110" t="s">
        <v>86</v>
      </c>
      <c r="F250" s="10" t="s">
        <v>87</v>
      </c>
    </row>
    <row r="251" spans="1:6" ht="16.5" hidden="1">
      <c r="A251" s="107">
        <v>939359580</v>
      </c>
      <c r="B251" s="108" t="str">
        <f>IF(A251&lt;&gt;"", VLOOKUP(A251,'Danh Sách Tổng KH'!$A$1:$B$547,2,0),"")</f>
        <v>Trần Thị Mỹ Cầm</v>
      </c>
      <c r="C251" s="109" t="str">
        <f t="shared" si="2"/>
        <v>Chưa cho lên đơn</v>
      </c>
      <c r="D251" s="110">
        <v>260000</v>
      </c>
      <c r="E251" s="110" t="s">
        <v>86</v>
      </c>
      <c r="F251" s="10" t="s">
        <v>87</v>
      </c>
    </row>
    <row r="252" spans="1:6" ht="16.5" hidden="1">
      <c r="A252" s="107">
        <v>939890980</v>
      </c>
      <c r="B252" s="108" t="str">
        <f>IF(A252&lt;&gt;"", VLOOKUP(A252,'Danh Sách Tổng KH'!$A$1:$B$547,2,0),"")</f>
        <v>Nguyễn Thanh Hải Tuấn sắt p3</v>
      </c>
      <c r="C252" s="109" t="str">
        <f t="shared" si="2"/>
        <v>Chưa cho lên đơn</v>
      </c>
      <c r="D252" s="110">
        <v>100000</v>
      </c>
      <c r="E252" s="110" t="s">
        <v>86</v>
      </c>
      <c r="F252" s="10" t="s">
        <v>87</v>
      </c>
    </row>
    <row r="253" spans="1:6" ht="16.5" hidden="1">
      <c r="A253" s="107">
        <v>778112338</v>
      </c>
      <c r="B253" s="108" t="str">
        <f>IF(A253&lt;&gt;"", VLOOKUP(A253,'Danh Sách Tổng KH'!$A$1:$B$547,2,0),"")</f>
        <v>Huỳnh Thành Phước</v>
      </c>
      <c r="C253" s="109" t="str">
        <f t="shared" si="2"/>
        <v>Chưa cho lên đơn</v>
      </c>
      <c r="D253" s="110">
        <v>350000</v>
      </c>
      <c r="E253" s="110" t="s">
        <v>86</v>
      </c>
      <c r="F253" s="10" t="s">
        <v>87</v>
      </c>
    </row>
    <row r="254" spans="1:6" ht="16.5" hidden="1">
      <c r="A254" s="107">
        <v>932874864</v>
      </c>
      <c r="B254" s="108" t="str">
        <f>IF(A254&lt;&gt;"", VLOOKUP(A254,'Danh Sách Tổng KH'!$A$1:$B$547,2,0),"")</f>
        <v>Nguyễn Phát Huy</v>
      </c>
      <c r="C254" s="109" t="str">
        <f t="shared" si="2"/>
        <v>Chưa cho lên đơn</v>
      </c>
      <c r="D254" s="110">
        <v>180000</v>
      </c>
      <c r="E254" s="110" t="s">
        <v>86</v>
      </c>
      <c r="F254" s="10" t="s">
        <v>87</v>
      </c>
    </row>
    <row r="255" spans="1:6" ht="16.5" hidden="1">
      <c r="A255" s="107">
        <v>939090806</v>
      </c>
      <c r="B255" s="108" t="str">
        <f>IF(A255&lt;&gt;"", VLOOKUP(A255,'Danh Sách Tổng KH'!$A$1:$B$547,2,0),"")</f>
        <v>Ngô Hoàng Hội</v>
      </c>
      <c r="C255" s="109" t="str">
        <f t="shared" si="2"/>
        <v>Chưa cho lên đơn</v>
      </c>
      <c r="D255" s="110">
        <v>270000</v>
      </c>
      <c r="E255" s="110" t="s">
        <v>86</v>
      </c>
      <c r="F255" s="10" t="s">
        <v>87</v>
      </c>
    </row>
    <row r="256" spans="1:6" ht="16.5" hidden="1">
      <c r="A256" s="107">
        <v>937456721</v>
      </c>
      <c r="B256" s="108" t="str">
        <f>IF(A256&lt;&gt;"", VLOOKUP(A256,'Danh Sách Tổng KH'!$A$1:$B$547,2,0),"")</f>
        <v>Nguyễn Hoàng Nhật</v>
      </c>
      <c r="C256" s="109" t="str">
        <f t="shared" si="2"/>
        <v>Chưa cho lên đơn</v>
      </c>
      <c r="D256" s="110">
        <v>280000</v>
      </c>
      <c r="E256" s="110" t="s">
        <v>86</v>
      </c>
      <c r="F256" s="10" t="s">
        <v>87</v>
      </c>
    </row>
    <row r="257" spans="1:6" ht="16.5" hidden="1">
      <c r="A257" s="107">
        <v>939969498</v>
      </c>
      <c r="B257" s="108" t="str">
        <f>IF(A257&lt;&gt;"", VLOOKUP(A257,'Danh Sách Tổng KH'!$A$1:$B$547,2,0),"")</f>
        <v>HỘ KINH DOANH RIO</v>
      </c>
      <c r="C257" s="109" t="str">
        <f t="shared" si="2"/>
        <v>Chưa cho lên đơn</v>
      </c>
      <c r="D257" s="110">
        <v>260000</v>
      </c>
      <c r="E257" s="110" t="s">
        <v>86</v>
      </c>
      <c r="F257" s="10" t="s">
        <v>87</v>
      </c>
    </row>
    <row r="258" spans="1:6" ht="16.5" hidden="1">
      <c r="A258" s="107">
        <v>939930030</v>
      </c>
      <c r="B258" s="108" t="str">
        <f>IF(A258&lt;&gt;"", VLOOKUP(A258,'Danh Sách Tổng KH'!$A$1:$B$547,2,0),"")</f>
        <v>Nguyễn Phúc Thiện</v>
      </c>
      <c r="C258" s="109" t="str">
        <f t="shared" si="2"/>
        <v>Chưa cho lên đơn</v>
      </c>
      <c r="D258" s="110">
        <v>150000</v>
      </c>
      <c r="E258" s="110" t="s">
        <v>86</v>
      </c>
      <c r="F258" s="10" t="s">
        <v>87</v>
      </c>
    </row>
    <row r="259" spans="1:6" ht="16.5" hidden="1">
      <c r="A259" s="107">
        <v>939618156</v>
      </c>
      <c r="B259" s="108" t="str">
        <f>IF(A259&lt;&gt;"", VLOOKUP(A259,'Danh Sách Tổng KH'!$A$1:$B$547,2,0),"")</f>
        <v>Lữ Ngọc Thảo</v>
      </c>
      <c r="C259" s="109" t="str">
        <f t="shared" si="2"/>
        <v>Chưa cho lên đơn</v>
      </c>
      <c r="D259" s="110">
        <v>340000</v>
      </c>
      <c r="E259" s="110" t="s">
        <v>86</v>
      </c>
      <c r="F259" s="10" t="s">
        <v>87</v>
      </c>
    </row>
    <row r="260" spans="1:6" ht="16.5" hidden="1">
      <c r="A260" s="107">
        <v>899507261</v>
      </c>
      <c r="B260" s="108" t="str">
        <f>IF(A260&lt;&gt;"", VLOOKUP(A260,'Danh Sách Tổng KH'!$A$1:$B$547,2,0),"")</f>
        <v>Nguyễn Thị Mỹ Ngọc</v>
      </c>
      <c r="C260" s="109" t="str">
        <f t="shared" si="2"/>
        <v>Chưa cho lên đơn</v>
      </c>
      <c r="D260" s="110">
        <v>100000</v>
      </c>
      <c r="E260" s="110" t="s">
        <v>86</v>
      </c>
      <c r="F260" s="10" t="s">
        <v>87</v>
      </c>
    </row>
    <row r="261" spans="1:6" ht="16.5" hidden="1">
      <c r="A261" s="107">
        <v>907646875</v>
      </c>
      <c r="B261" s="108" t="str">
        <f>IF(A261&lt;&gt;"", VLOOKUP(A261,'Danh Sách Tổng KH'!$A$1:$B$547,2,0),"")</f>
        <v>Nguyễn Thị Đan Thanh</v>
      </c>
      <c r="C261" s="109" t="str">
        <f t="shared" si="2"/>
        <v>Chưa cho lên đơn</v>
      </c>
      <c r="D261" s="110">
        <v>270000</v>
      </c>
      <c r="E261" s="110" t="s">
        <v>86</v>
      </c>
      <c r="F261" s="10" t="s">
        <v>87</v>
      </c>
    </row>
    <row r="262" spans="1:6" ht="16.5" hidden="1">
      <c r="A262" s="107">
        <v>777292268</v>
      </c>
      <c r="B262" s="108" t="str">
        <f>IF(A262&lt;&gt;"", VLOOKUP(A262,'Danh Sách Tổng KH'!$A$1:$B$547,2,0),"")</f>
        <v>Nguyễn Thị Đan Thanh</v>
      </c>
      <c r="C262" s="109" t="str">
        <f t="shared" si="2"/>
        <v>Chưa cho lên đơn</v>
      </c>
      <c r="D262" s="110">
        <v>60000</v>
      </c>
      <c r="E262" s="110" t="s">
        <v>86</v>
      </c>
      <c r="F262" s="10" t="s">
        <v>87</v>
      </c>
    </row>
    <row r="263" spans="1:6" ht="16.5" hidden="1">
      <c r="A263" s="107">
        <v>794335363</v>
      </c>
      <c r="B263" s="108" t="str">
        <f>IF(A263&lt;&gt;"", VLOOKUP(A263,'Danh Sách Tổng KH'!$A$1:$B$547,2,0),"")</f>
        <v>Trần Ngô Anh Thư</v>
      </c>
      <c r="C263" s="109" t="str">
        <f t="shared" si="2"/>
        <v>Chưa cho lên đơn</v>
      </c>
      <c r="D263" s="110">
        <v>150000</v>
      </c>
      <c r="E263" s="110" t="s">
        <v>86</v>
      </c>
      <c r="F263" s="10" t="s">
        <v>87</v>
      </c>
    </row>
    <row r="264" spans="1:6" ht="16.5" hidden="1">
      <c r="A264" s="107">
        <v>939290113</v>
      </c>
      <c r="B264" s="108" t="str">
        <f>IF(A264&lt;&gt;"", VLOOKUP(A264,'Danh Sách Tổng KH'!$A$1:$B$547,2,0),"")</f>
        <v>Hà Thị Ngọc Hà</v>
      </c>
      <c r="C264" s="109" t="str">
        <f t="shared" si="2"/>
        <v>Chưa cho lên đơn</v>
      </c>
      <c r="D264" s="110">
        <v>160000</v>
      </c>
      <c r="E264" s="110" t="s">
        <v>86</v>
      </c>
      <c r="F264" s="10" t="s">
        <v>87</v>
      </c>
    </row>
    <row r="265" spans="1:6" ht="16.5" hidden="1">
      <c r="A265" s="107">
        <v>774019919</v>
      </c>
      <c r="B265" s="108" t="str">
        <f>IF(A265&lt;&gt;"", VLOOKUP(A265,'Danh Sách Tổng KH'!$A$1:$B$547,2,0),"")</f>
        <v>Võ Minh Anh dia ban Ci Nguyet khu kim cuong</v>
      </c>
      <c r="C265" s="109" t="str">
        <f t="shared" si="2"/>
        <v>Chưa cho lên đơn</v>
      </c>
      <c r="D265" s="110">
        <v>160000</v>
      </c>
      <c r="E265" s="110" t="s">
        <v>86</v>
      </c>
      <c r="F265" s="10" t="s">
        <v>87</v>
      </c>
    </row>
    <row r="266" spans="1:6" ht="16.5" hidden="1">
      <c r="A266" s="107">
        <v>939068963</v>
      </c>
      <c r="B266" s="108" t="str">
        <f>IF(A266&lt;&gt;"", VLOOKUP(A266,'Danh Sách Tổng KH'!$A$1:$B$547,2,0),"")</f>
        <v>Nguyễn Thị Hồng Cúc bãi cọc cầu tân hữu mới</v>
      </c>
      <c r="C266" s="109" t="str">
        <f t="shared" si="2"/>
        <v>Chưa cho lên đơn</v>
      </c>
      <c r="D266" s="110">
        <v>110000</v>
      </c>
      <c r="E266" s="110" t="s">
        <v>86</v>
      </c>
      <c r="F266" s="10" t="s">
        <v>87</v>
      </c>
    </row>
    <row r="267" spans="1:6" ht="16.5" hidden="1">
      <c r="A267" s="107">
        <v>786086878</v>
      </c>
      <c r="B267" s="108" t="str">
        <f>IF(A267&lt;&gt;"", VLOOKUP(A267,'Danh Sách Tổng KH'!$A$1:$B$547,2,0),"")</f>
        <v>Nguyễn Ngọc Tuyết Lan</v>
      </c>
      <c r="C267" s="109" t="str">
        <f t="shared" si="2"/>
        <v>Chưa cho lên đơn</v>
      </c>
      <c r="D267" s="110">
        <v>140000</v>
      </c>
      <c r="E267" s="110" t="s">
        <v>86</v>
      </c>
      <c r="F267" s="10" t="s">
        <v>87</v>
      </c>
    </row>
    <row r="268" spans="1:6" ht="16.5" hidden="1">
      <c r="A268" s="107">
        <v>907989874</v>
      </c>
      <c r="B268" s="108" t="str">
        <f>IF(A268&lt;&gt;"", VLOOKUP(A268,'Danh Sách Tổng KH'!$A$1:$B$547,2,0),"")</f>
        <v>Lâm Sơn Hiếu</v>
      </c>
      <c r="C268" s="109" t="str">
        <f t="shared" si="2"/>
        <v>Chưa cho lên đơn</v>
      </c>
      <c r="D268" s="110">
        <v>100000</v>
      </c>
      <c r="E268" s="110" t="s">
        <v>86</v>
      </c>
      <c r="F268" s="10" t="s">
        <v>87</v>
      </c>
    </row>
    <row r="269" spans="1:6" ht="16.5" hidden="1">
      <c r="A269" s="107">
        <v>932919113</v>
      </c>
      <c r="B269" s="108" t="str">
        <f>IF(A269&lt;&gt;"", VLOOKUP(A269,'Danh Sách Tổng KH'!$A$1:$B$547,2,0),"")</f>
        <v>Nguyễn Minh Chí</v>
      </c>
      <c r="C269" s="109" t="str">
        <f t="shared" si="2"/>
        <v>Chưa cho lên đơn</v>
      </c>
      <c r="D269" s="110">
        <v>160000</v>
      </c>
      <c r="E269" s="110" t="s">
        <v>86</v>
      </c>
      <c r="F269" s="10" t="s">
        <v>87</v>
      </c>
    </row>
    <row r="270" spans="1:6" ht="16.5" hidden="1">
      <c r="A270" s="107">
        <v>908261777</v>
      </c>
      <c r="B270" s="108" t="str">
        <f>IF(A270&lt;&gt;"", VLOOKUP(A270,'Danh Sách Tổng KH'!$A$1:$B$547,2,0),"")</f>
        <v>Nguyễn Thị Giang</v>
      </c>
      <c r="C270" s="109" t="str">
        <f t="shared" si="2"/>
        <v>Chưa cho lên đơn</v>
      </c>
      <c r="D270" s="110">
        <v>70000</v>
      </c>
      <c r="E270" s="110" t="s">
        <v>86</v>
      </c>
      <c r="F270" s="10" t="s">
        <v>87</v>
      </c>
    </row>
    <row r="271" spans="1:6" ht="16.5" hidden="1">
      <c r="A271" s="107">
        <v>939962457</v>
      </c>
      <c r="B271" s="108" t="str">
        <f>IF(A271&lt;&gt;"", VLOOKUP(A271,'Danh Sách Tổng KH'!$A$1:$B$547,2,0),"")</f>
        <v>Nguyễn Thị Xuân Liễu</v>
      </c>
      <c r="C271" s="109" t="str">
        <f t="shared" si="2"/>
        <v>Chưa cho lên đơn</v>
      </c>
      <c r="D271" s="110">
        <v>210000</v>
      </c>
      <c r="E271" s="110"/>
    </row>
    <row r="272" spans="1:6" ht="16.5" hidden="1">
      <c r="A272" s="107">
        <v>704797978</v>
      </c>
      <c r="B272" s="108" t="str">
        <f>IF(A272&lt;&gt;"", VLOOKUP(A272,'Danh Sách Tổng KH'!$A$1:$B$547,2,0),"")</f>
        <v>Võ Văn Kiệt</v>
      </c>
      <c r="C272" s="109" t="str">
        <f t="shared" si="2"/>
        <v>Chưa cho lên đơn</v>
      </c>
      <c r="D272" s="110">
        <v>10000</v>
      </c>
      <c r="E272" s="110"/>
    </row>
    <row r="273" spans="1:6" ht="16.5" hidden="1">
      <c r="A273" s="107">
        <v>939523819</v>
      </c>
      <c r="B273" s="108" t="str">
        <f>IF(A273&lt;&gt;"", VLOOKUP(A273,'Danh Sách Tổng KH'!$A$1:$B$547,2,0),"")</f>
        <v>Lê Tuấn Phương</v>
      </c>
      <c r="C273" s="109" t="str">
        <f t="shared" si="2"/>
        <v>Chưa cho lên đơn</v>
      </c>
      <c r="D273" s="110">
        <v>250000</v>
      </c>
      <c r="E273" s="110"/>
    </row>
    <row r="274" spans="1:6" ht="16.5" hidden="1">
      <c r="A274" s="107">
        <v>776566606</v>
      </c>
      <c r="B274" s="108" t="str">
        <f>IF(A274&lt;&gt;"", VLOOKUP(A274,'Danh Sách Tổng KH'!$A$1:$B$547,2,0),"")</f>
        <v>Phan Phi Sơn</v>
      </c>
      <c r="C274" s="109" t="str">
        <f t="shared" si="2"/>
        <v>Chưa cho lên đơn</v>
      </c>
      <c r="D274" s="110">
        <v>100000</v>
      </c>
      <c r="E274" s="110"/>
    </row>
    <row r="275" spans="1:6" ht="16.5" hidden="1">
      <c r="A275" s="107">
        <v>778112338</v>
      </c>
      <c r="B275" s="108" t="str">
        <f>IF(A275&lt;&gt;"", VLOOKUP(A275,'Danh Sách Tổng KH'!$A$1:$B$547,2,0),"")</f>
        <v>Huỳnh Thành Phước</v>
      </c>
      <c r="C275" s="109" t="str">
        <f t="shared" si="2"/>
        <v>Chưa cho lên đơn</v>
      </c>
      <c r="D275" s="110">
        <v>220000</v>
      </c>
      <c r="E275" s="110" t="s">
        <v>86</v>
      </c>
      <c r="F275" s="10" t="s">
        <v>87</v>
      </c>
    </row>
    <row r="276" spans="1:6" ht="16.5" hidden="1">
      <c r="A276" s="107">
        <v>939969498</v>
      </c>
      <c r="B276" s="108" t="str">
        <f>IF(A276&lt;&gt;"", VLOOKUP(A276,'Danh Sách Tổng KH'!$A$1:$B$547,2,0),"")</f>
        <v>HỘ KINH DOANH RIO</v>
      </c>
      <c r="C276" s="109" t="str">
        <f t="shared" si="2"/>
        <v>Chưa cho lên đơn</v>
      </c>
      <c r="D276" s="110">
        <v>280000</v>
      </c>
      <c r="E276" s="110" t="s">
        <v>86</v>
      </c>
      <c r="F276" s="10" t="s">
        <v>87</v>
      </c>
    </row>
    <row r="277" spans="1:6" ht="16.5" hidden="1">
      <c r="A277" s="107">
        <v>907989874</v>
      </c>
      <c r="B277" s="108" t="str">
        <f>IF(A277&lt;&gt;"", VLOOKUP(A277,'Danh Sách Tổng KH'!$A$1:$B$547,2,0),"")</f>
        <v>Lâm Sơn Hiếu</v>
      </c>
      <c r="C277" s="109" t="str">
        <f t="shared" si="2"/>
        <v>Chưa cho lên đơn</v>
      </c>
      <c r="D277" s="110">
        <v>100000</v>
      </c>
      <c r="E277" s="110" t="s">
        <v>86</v>
      </c>
      <c r="F277" s="10" t="s">
        <v>87</v>
      </c>
    </row>
    <row r="278" spans="1:6" ht="16.5" hidden="1">
      <c r="A278" s="107">
        <v>932923479</v>
      </c>
      <c r="B278" s="108" t="str">
        <f>IF(A278&lt;&gt;"", VLOOKUP(A278,'Danh Sách Tổng KH'!$A$1:$B$547,2,0),"")</f>
        <v>Huỳnh Công Trạng ck pháp y</v>
      </c>
      <c r="C278" s="109" t="str">
        <f t="shared" si="2"/>
        <v>Chưa cho lên đơn</v>
      </c>
      <c r="D278" s="110">
        <v>140000</v>
      </c>
      <c r="E278" s="110" t="s">
        <v>86</v>
      </c>
      <c r="F278" s="10" t="s">
        <v>87</v>
      </c>
    </row>
    <row r="279" spans="1:6" ht="16.5" hidden="1">
      <c r="A279" s="107">
        <v>776566606</v>
      </c>
      <c r="B279" s="108" t="str">
        <f>IF(A279&lt;&gt;"", VLOOKUP(A279,'Danh Sách Tổng KH'!$A$1:$B$547,2,0),"")</f>
        <v>Phan Phi Sơn</v>
      </c>
      <c r="C279" s="109" t="str">
        <f t="shared" si="2"/>
        <v>Chưa cho lên đơn</v>
      </c>
      <c r="D279" s="110">
        <v>100000</v>
      </c>
      <c r="E279" s="110" t="s">
        <v>86</v>
      </c>
      <c r="F279" s="10" t="s">
        <v>87</v>
      </c>
    </row>
    <row r="280" spans="1:6" ht="16.5" hidden="1">
      <c r="A280" s="107">
        <v>939962457</v>
      </c>
      <c r="B280" s="108" t="str">
        <f>IF(A280&lt;&gt;"", VLOOKUP(A280,'Danh Sách Tổng KH'!$A$1:$B$547,2,0),"")</f>
        <v>Nguyễn Thị Xuân Liễu</v>
      </c>
      <c r="C280" s="109" t="str">
        <f t="shared" si="2"/>
        <v>Chưa cho lên đơn</v>
      </c>
      <c r="D280" s="110">
        <v>210000</v>
      </c>
      <c r="E280" s="110" t="s">
        <v>86</v>
      </c>
      <c r="F280" s="10" t="s">
        <v>87</v>
      </c>
    </row>
    <row r="281" spans="1:6" ht="16.5" hidden="1">
      <c r="A281" s="107">
        <v>939890980</v>
      </c>
      <c r="B281" s="108" t="str">
        <f>IF(A281&lt;&gt;"", VLOOKUP(A281,'Danh Sách Tổng KH'!$A$1:$B$547,2,0),"")</f>
        <v>Nguyễn Thanh Hải Tuấn sắt p3</v>
      </c>
      <c r="C281" s="109" t="str">
        <f t="shared" si="2"/>
        <v>Chưa cho lên đơn</v>
      </c>
      <c r="D281" s="110">
        <v>100000</v>
      </c>
      <c r="E281" s="110" t="s">
        <v>86</v>
      </c>
      <c r="F281" s="10" t="s">
        <v>87</v>
      </c>
    </row>
    <row r="282" spans="1:6" ht="16.5" hidden="1">
      <c r="A282" s="107">
        <v>939930030</v>
      </c>
      <c r="B282" s="108" t="str">
        <f>IF(A282&lt;&gt;"", VLOOKUP(A282,'Danh Sách Tổng KH'!$A$1:$B$547,2,0),"")</f>
        <v>Nguyễn Phúc Thiện</v>
      </c>
      <c r="C282" s="109" t="str">
        <f t="shared" si="2"/>
        <v>Chưa cho lên đơn</v>
      </c>
      <c r="D282" s="110">
        <v>160000</v>
      </c>
      <c r="E282" s="110" t="s">
        <v>86</v>
      </c>
      <c r="F282" s="10" t="s">
        <v>87</v>
      </c>
    </row>
    <row r="283" spans="1:6" ht="16.5" hidden="1">
      <c r="A283" s="107">
        <v>932874864</v>
      </c>
      <c r="B283" s="108" t="str">
        <f>IF(A283&lt;&gt;"", VLOOKUP(A283,'Danh Sách Tổng KH'!$A$1:$B$547,2,0),"")</f>
        <v>Nguyễn Phát Huy</v>
      </c>
      <c r="C283" s="109" t="str">
        <f t="shared" si="2"/>
        <v>Chưa cho lên đơn</v>
      </c>
      <c r="D283" s="110">
        <v>230000</v>
      </c>
      <c r="E283" s="110" t="s">
        <v>86</v>
      </c>
      <c r="F283" s="10" t="s">
        <v>87</v>
      </c>
    </row>
    <row r="284" spans="1:6" ht="16.5" hidden="1">
      <c r="A284" s="107">
        <v>939618156</v>
      </c>
      <c r="B284" s="108" t="str">
        <f>IF(A284&lt;&gt;"", VLOOKUP(A284,'Danh Sách Tổng KH'!$A$1:$B$547,2,0),"")</f>
        <v>Lữ Ngọc Thảo</v>
      </c>
      <c r="C284" s="109" t="str">
        <f t="shared" si="2"/>
        <v>Chưa cho lên đơn</v>
      </c>
      <c r="D284" s="110">
        <v>420000</v>
      </c>
      <c r="E284" s="110" t="s">
        <v>86</v>
      </c>
      <c r="F284" s="10" t="s">
        <v>87</v>
      </c>
    </row>
    <row r="285" spans="1:6" ht="16.5" hidden="1">
      <c r="A285" s="107">
        <v>907095968</v>
      </c>
      <c r="B285" s="108" t="str">
        <f>IF(A285&lt;&gt;"", VLOOKUP(A285,'Danh Sách Tổng KH'!$A$1:$B$547,2,0),"")</f>
        <v>Trần Thành Tuấn</v>
      </c>
      <c r="C285" s="109" t="str">
        <f t="shared" si="2"/>
        <v>Chưa cho lên đơn</v>
      </c>
      <c r="D285" s="110">
        <v>250000</v>
      </c>
      <c r="E285" s="110" t="s">
        <v>86</v>
      </c>
      <c r="F285" s="10" t="s">
        <v>87</v>
      </c>
    </row>
    <row r="286" spans="1:6" ht="16.5" hidden="1">
      <c r="A286" s="107">
        <v>899507261</v>
      </c>
      <c r="B286" s="108" t="str">
        <f>IF(A286&lt;&gt;"", VLOOKUP(A286,'Danh Sách Tổng KH'!$A$1:$B$547,2,0),"")</f>
        <v>Nguyễn Thị Mỹ Ngọc</v>
      </c>
      <c r="C286" s="109" t="str">
        <f t="shared" si="2"/>
        <v>Chưa cho lên đơn</v>
      </c>
      <c r="D286" s="110">
        <v>120000</v>
      </c>
      <c r="E286" s="110" t="s">
        <v>86</v>
      </c>
      <c r="F286" s="10" t="s">
        <v>87</v>
      </c>
    </row>
    <row r="287" spans="1:6" ht="16.5" hidden="1">
      <c r="A287" s="107">
        <v>977283949</v>
      </c>
      <c r="B287" s="108" t="str">
        <f>IF(A287&lt;&gt;"", VLOOKUP(A287,'Danh Sách Tổng KH'!$A$1:$B$547,2,0),"")</f>
        <v>Trần Thị Mộng Cầm</v>
      </c>
      <c r="C287" s="109" t="str">
        <f t="shared" si="2"/>
        <v>Chưa cho lên đơn</v>
      </c>
      <c r="D287" s="110">
        <v>130000</v>
      </c>
      <c r="E287" s="110" t="s">
        <v>86</v>
      </c>
      <c r="F287" s="10" t="s">
        <v>87</v>
      </c>
    </row>
    <row r="288" spans="1:6" ht="16.5" hidden="1">
      <c r="A288" s="107">
        <v>939359580</v>
      </c>
      <c r="B288" s="108" t="str">
        <f>IF(A288&lt;&gt;"", VLOOKUP(A288,'Danh Sách Tổng KH'!$A$1:$B$547,2,0),"")</f>
        <v>Trần Thị Mỹ Cầm</v>
      </c>
      <c r="C288" s="109" t="str">
        <f t="shared" si="2"/>
        <v>Chưa cho lên đơn</v>
      </c>
      <c r="D288" s="110">
        <v>260000</v>
      </c>
      <c r="E288" s="110" t="s">
        <v>86</v>
      </c>
      <c r="F288" s="10" t="s">
        <v>87</v>
      </c>
    </row>
    <row r="289" spans="1:6" ht="16.5" hidden="1">
      <c r="A289" s="107">
        <v>907646875</v>
      </c>
      <c r="B289" s="108" t="str">
        <f>IF(A289&lt;&gt;"", VLOOKUP(A289,'Danh Sách Tổng KH'!$A$1:$B$547,2,0),"")</f>
        <v>Nguyễn Thị Đan Thanh</v>
      </c>
      <c r="C289" s="109" t="str">
        <f t="shared" si="2"/>
        <v>Chưa cho lên đơn</v>
      </c>
      <c r="D289" s="110">
        <v>270000</v>
      </c>
      <c r="E289" s="110" t="s">
        <v>86</v>
      </c>
      <c r="F289" s="10" t="s">
        <v>87</v>
      </c>
    </row>
    <row r="290" spans="1:6" ht="16.5" hidden="1">
      <c r="A290" s="107">
        <v>777292268</v>
      </c>
      <c r="B290" s="108" t="str">
        <f>IF(A290&lt;&gt;"", VLOOKUP(A290,'Danh Sách Tổng KH'!$A$1:$B$547,2,0),"")</f>
        <v>Nguyễn Thị Đan Thanh</v>
      </c>
      <c r="C290" s="109" t="str">
        <f t="shared" si="2"/>
        <v>Chưa cho lên đơn</v>
      </c>
      <c r="D290" s="110">
        <v>110000</v>
      </c>
      <c r="E290" s="110" t="s">
        <v>86</v>
      </c>
      <c r="F290" s="10" t="s">
        <v>87</v>
      </c>
    </row>
    <row r="291" spans="1:6" ht="16.5" hidden="1">
      <c r="A291" s="107">
        <v>901076758</v>
      </c>
      <c r="B291" s="108" t="str">
        <f>IF(A291&lt;&gt;"", VLOOKUP(A291,'Danh Sách Tổng KH'!$A$1:$B$547,2,0),"")</f>
        <v>Nguyễn Văn Minh</v>
      </c>
      <c r="C291" s="109" t="str">
        <f t="shared" si="2"/>
        <v>Chưa cho lên đơn</v>
      </c>
      <c r="D291" s="110">
        <v>110000</v>
      </c>
      <c r="E291" s="110" t="s">
        <v>86</v>
      </c>
      <c r="F291" s="10" t="s">
        <v>87</v>
      </c>
    </row>
    <row r="292" spans="1:6" ht="16.5" hidden="1">
      <c r="A292" s="107">
        <v>794335363</v>
      </c>
      <c r="B292" s="108" t="str">
        <f>IF(A292&lt;&gt;"", VLOOKUP(A292,'Danh Sách Tổng KH'!$A$1:$B$547,2,0),"")</f>
        <v>Trần Ngô Anh Thư</v>
      </c>
      <c r="C292" s="109" t="str">
        <f t="shared" si="2"/>
        <v>Chưa cho lên đơn</v>
      </c>
      <c r="D292" s="110">
        <v>160000</v>
      </c>
      <c r="E292" s="110" t="s">
        <v>86</v>
      </c>
      <c r="F292" s="10" t="s">
        <v>87</v>
      </c>
    </row>
    <row r="293" spans="1:6" ht="16.5" hidden="1">
      <c r="A293" s="107">
        <v>908429290</v>
      </c>
      <c r="B293" s="108" t="str">
        <f>IF(A293&lt;&gt;"", VLOOKUP(A293,'Danh Sách Tổng KH'!$A$1:$B$547,2,0),"")</f>
        <v>Thái Phước Khánh Vân</v>
      </c>
      <c r="C293" s="109" t="str">
        <f t="shared" si="2"/>
        <v>Chưa cho lên đơn</v>
      </c>
      <c r="D293" s="110">
        <v>570000</v>
      </c>
      <c r="E293" s="110" t="s">
        <v>86</v>
      </c>
      <c r="F293" s="10" t="s">
        <v>87</v>
      </c>
    </row>
    <row r="294" spans="1:6" ht="16.5" hidden="1">
      <c r="A294" s="107">
        <v>907759788</v>
      </c>
      <c r="B294" s="108" t="str">
        <f>IF(A294&lt;&gt;"", VLOOKUP(A294,'Danh Sách Tổng KH'!$A$1:$B$547,2,0),"")</f>
        <v>Ngô Minh Nghĩa</v>
      </c>
      <c r="C294" s="109" t="str">
        <f t="shared" si="2"/>
        <v>Chưa cho lên đơn</v>
      </c>
      <c r="D294" s="110">
        <v>150000</v>
      </c>
      <c r="E294" s="110" t="s">
        <v>86</v>
      </c>
      <c r="F294" s="10" t="s">
        <v>87</v>
      </c>
    </row>
    <row r="295" spans="1:6" ht="16.5" hidden="1">
      <c r="A295" s="107">
        <v>937456721</v>
      </c>
      <c r="B295" s="108" t="str">
        <f>IF(A295&lt;&gt;"", VLOOKUP(A295,'Danh Sách Tổng KH'!$A$1:$B$547,2,0),"")</f>
        <v>Nguyễn Hoàng Nhật</v>
      </c>
      <c r="C295" s="109" t="str">
        <f t="shared" si="2"/>
        <v>Chưa cho lên đơn</v>
      </c>
      <c r="D295" s="110">
        <v>330000</v>
      </c>
      <c r="E295" s="110" t="s">
        <v>86</v>
      </c>
      <c r="F295" s="10" t="s">
        <v>87</v>
      </c>
    </row>
    <row r="296" spans="1:6" ht="16.5" hidden="1">
      <c r="A296" s="107">
        <v>782818186</v>
      </c>
      <c r="B296" s="108" t="str">
        <f>IF(A296&lt;&gt;"", VLOOKUP(A296,'Danh Sách Tổng KH'!$A$1:$B$547,2,0),"")</f>
        <v>Trần Thị Thuận</v>
      </c>
      <c r="C296" s="109" t="str">
        <f t="shared" si="2"/>
        <v>Chưa cho lên đơn</v>
      </c>
      <c r="D296" s="110">
        <v>150000</v>
      </c>
      <c r="E296" s="110" t="s">
        <v>86</v>
      </c>
      <c r="F296" s="10" t="s">
        <v>87</v>
      </c>
    </row>
    <row r="297" spans="1:6" ht="16.5" hidden="1">
      <c r="A297" s="107">
        <v>909114989</v>
      </c>
      <c r="B297" s="108" t="str">
        <f>IF(A297&lt;&gt;"", VLOOKUP(A297,'Danh Sách Tổng KH'!$A$1:$B$547,2,0),"")</f>
        <v>Trần Thị Thuận</v>
      </c>
      <c r="C297" s="109" t="str">
        <f t="shared" si="2"/>
        <v>Chưa cho lên đơn</v>
      </c>
      <c r="D297" s="110">
        <v>250000</v>
      </c>
      <c r="E297" s="110" t="s">
        <v>86</v>
      </c>
      <c r="F297" s="10" t="s">
        <v>87</v>
      </c>
    </row>
    <row r="298" spans="1:6" ht="16.5" hidden="1">
      <c r="A298" s="107">
        <v>907603189</v>
      </c>
      <c r="B298" s="108" t="str">
        <f>IF(A298&lt;&gt;"", VLOOKUP(A298,'Danh Sách Tổng KH'!$A$1:$B$547,2,0),"")</f>
        <v>Trần Thị Thuận</v>
      </c>
      <c r="C298" s="109" t="str">
        <f t="shared" si="2"/>
        <v>Chưa cho lên đơn</v>
      </c>
      <c r="D298" s="110">
        <v>160000</v>
      </c>
      <c r="E298" s="110" t="s">
        <v>86</v>
      </c>
      <c r="F298" s="10" t="s">
        <v>87</v>
      </c>
    </row>
    <row r="299" spans="1:6" ht="16.5" hidden="1">
      <c r="A299" s="107">
        <v>939068963</v>
      </c>
      <c r="B299" s="108" t="str">
        <f>IF(A299&lt;&gt;"", VLOOKUP(A299,'Danh Sách Tổng KH'!$A$1:$B$547,2,0),"")</f>
        <v>Nguyễn Thị Hồng Cúc bãi cọc cầu tân hữu mới</v>
      </c>
      <c r="C299" s="109" t="str">
        <f t="shared" si="2"/>
        <v>Chưa cho lên đơn</v>
      </c>
      <c r="D299" s="110">
        <v>100000</v>
      </c>
      <c r="E299" s="110" t="s">
        <v>86</v>
      </c>
      <c r="F299" s="10" t="s">
        <v>87</v>
      </c>
    </row>
    <row r="300" spans="1:6" ht="16.5" hidden="1">
      <c r="A300" s="107">
        <v>932919113</v>
      </c>
      <c r="B300" s="108" t="str">
        <f>IF(A300&lt;&gt;"", VLOOKUP(A300,'Danh Sách Tổng KH'!$A$1:$B$547,2,0),"")</f>
        <v>Nguyễn Minh Chí</v>
      </c>
      <c r="C300" s="109" t="str">
        <f t="shared" si="2"/>
        <v>Chưa cho lên đơn</v>
      </c>
      <c r="D300" s="110">
        <v>160000</v>
      </c>
      <c r="E300" s="110" t="s">
        <v>86</v>
      </c>
      <c r="F300" s="10" t="s">
        <v>87</v>
      </c>
    </row>
    <row r="301" spans="1:6" ht="16.5" hidden="1">
      <c r="A301" s="107">
        <v>939772712</v>
      </c>
      <c r="B301" s="108" t="str">
        <f>IF(A301&lt;&gt;"", VLOOKUP(A301,'Danh Sách Tổng KH'!$A$1:$B$547,2,0),"")</f>
        <v>Tô Hải Vân</v>
      </c>
      <c r="C301" s="109" t="str">
        <f t="shared" si="2"/>
        <v>Chưa cho lên đơn</v>
      </c>
      <c r="D301" s="110">
        <v>470000</v>
      </c>
      <c r="E301" s="110" t="s">
        <v>174</v>
      </c>
      <c r="F301" s="10" t="s">
        <v>87</v>
      </c>
    </row>
    <row r="302" spans="1:6" ht="16.5" hidden="1">
      <c r="A302" s="107">
        <v>907688290</v>
      </c>
      <c r="B302" s="108" t="str">
        <f>IF(A302&lt;&gt;"", VLOOKUP(A302,'Danh Sách Tổng KH'!$A$1:$B$547,2,0),"")</f>
        <v>Huỳnh Như Ngọc</v>
      </c>
      <c r="C302" s="109" t="str">
        <f t="shared" si="2"/>
        <v>Chưa cho lên đơn</v>
      </c>
      <c r="D302" s="110">
        <v>100000</v>
      </c>
      <c r="E302" s="110"/>
    </row>
    <row r="303" spans="1:6" ht="16.5" hidden="1">
      <c r="A303" s="107">
        <v>704797978</v>
      </c>
      <c r="B303" s="108" t="str">
        <f>IF(A303&lt;&gt;"", VLOOKUP(A303,'Danh Sách Tổng KH'!$A$1:$B$547,2,0),"")</f>
        <v>Võ Văn Kiệt</v>
      </c>
      <c r="C303" s="109" t="str">
        <f t="shared" si="2"/>
        <v>Chưa cho lên đơn</v>
      </c>
      <c r="D303" s="110">
        <v>120000</v>
      </c>
      <c r="E303" s="110"/>
    </row>
    <row r="304" spans="1:6" ht="16.5" hidden="1">
      <c r="A304" s="107">
        <v>907880007</v>
      </c>
      <c r="B304" s="108" t="str">
        <f>IF(A304&lt;&gt;"", VLOOKUP(A304,'Danh Sách Tổng KH'!$A$1:$B$547,2,0),"")</f>
        <v>Võ Văn Kiệt</v>
      </c>
      <c r="C304" s="109" t="str">
        <f t="shared" si="2"/>
        <v>Chưa cho lên đơn</v>
      </c>
      <c r="D304" s="110">
        <v>250000</v>
      </c>
      <c r="E304" s="110"/>
    </row>
    <row r="305" spans="1:6" ht="16.5" hidden="1">
      <c r="A305" s="107">
        <v>786086878</v>
      </c>
      <c r="B305" s="108" t="str">
        <f>IF(A305&lt;&gt;"", VLOOKUP(A305,'Danh Sách Tổng KH'!$A$1:$B$547,2,0),"")</f>
        <v>Nguyễn Ngọc Tuyết Lan</v>
      </c>
      <c r="C305" s="109" t="str">
        <f t="shared" si="2"/>
        <v>Chưa cho lên đơn</v>
      </c>
      <c r="D305" s="110">
        <v>110000</v>
      </c>
      <c r="E305" s="110"/>
    </row>
    <row r="306" spans="1:6" ht="16.5" hidden="1">
      <c r="A306" s="107">
        <v>939290113</v>
      </c>
      <c r="B306" s="108" t="str">
        <f>IF(A306&lt;&gt;"", VLOOKUP(A306,'Danh Sách Tổng KH'!$A$1:$B$547,2,0),"")</f>
        <v>Hà Thị Ngọc Hà</v>
      </c>
      <c r="C306" s="109" t="str">
        <f t="shared" si="2"/>
        <v>Chưa cho lên đơn</v>
      </c>
      <c r="D306" s="110">
        <v>160000</v>
      </c>
      <c r="E306" s="110"/>
    </row>
    <row r="307" spans="1:6" ht="21" hidden="1" customHeight="1">
      <c r="A307" s="107">
        <v>774019919</v>
      </c>
      <c r="B307" s="108" t="str">
        <f>IF(A307&lt;&gt;"", VLOOKUP(A307,'Danh Sách Tổng KH'!$A$1:$B$547,2,0),"")</f>
        <v>Võ Minh Anh dia ban Ci Nguyet khu kim cuong</v>
      </c>
      <c r="C307" s="109" t="str">
        <f t="shared" si="2"/>
        <v>Chưa cho lên đơn</v>
      </c>
      <c r="D307" s="110">
        <v>160000</v>
      </c>
      <c r="E307" s="110"/>
    </row>
    <row r="308" spans="1:6" ht="16.5" hidden="1">
      <c r="A308" s="107">
        <v>907095968</v>
      </c>
      <c r="B308" s="108" t="str">
        <f>IF(A308&lt;&gt;"", VLOOKUP(A308,'Danh Sách Tổng KH'!$A$1:$B$547,2,0),"")</f>
        <v>Trần Thành Tuấn</v>
      </c>
      <c r="C308" s="109" t="str">
        <f t="shared" si="2"/>
        <v>Chưa cho lên đơn</v>
      </c>
      <c r="D308" s="110">
        <v>100000</v>
      </c>
      <c r="E308" s="110" t="s">
        <v>86</v>
      </c>
      <c r="F308" s="10" t="s">
        <v>87</v>
      </c>
    </row>
    <row r="309" spans="1:6" ht="16.5" hidden="1">
      <c r="A309" s="107">
        <v>776566606</v>
      </c>
      <c r="B309" s="108" t="str">
        <f>IF(A309&lt;&gt;"", VLOOKUP(A309,'Danh Sách Tổng KH'!$A$1:$B$547,2,0),"")</f>
        <v>Phan Phi Sơn</v>
      </c>
      <c r="C309" s="109" t="str">
        <f t="shared" si="2"/>
        <v>Chưa cho lên đơn</v>
      </c>
      <c r="D309" s="110">
        <v>100000</v>
      </c>
      <c r="E309" s="110" t="s">
        <v>86</v>
      </c>
      <c r="F309" s="10" t="s">
        <v>87</v>
      </c>
    </row>
    <row r="310" spans="1:6" ht="16.5" hidden="1">
      <c r="A310" s="107">
        <v>932874864</v>
      </c>
      <c r="B310" s="108" t="str">
        <f>IF(A310&lt;&gt;"", VLOOKUP(A310,'Danh Sách Tổng KH'!$A$1:$B$547,2,0),"")</f>
        <v>Nguyễn Phát Huy</v>
      </c>
      <c r="C310" s="109" t="str">
        <f t="shared" si="2"/>
        <v>Chưa cho lên đơn</v>
      </c>
      <c r="D310" s="110">
        <v>150000</v>
      </c>
      <c r="E310" s="110" t="s">
        <v>86</v>
      </c>
      <c r="F310" s="10" t="s">
        <v>87</v>
      </c>
    </row>
    <row r="311" spans="1:6" ht="16.5" hidden="1">
      <c r="A311" s="107">
        <v>939969498</v>
      </c>
      <c r="B311" s="108" t="str">
        <f>IF(A311&lt;&gt;"", VLOOKUP(A311,'Danh Sách Tổng KH'!$A$1:$B$547,2,0),"")</f>
        <v>HỘ KINH DOANH RIO</v>
      </c>
      <c r="C311" s="109" t="str">
        <f t="shared" si="2"/>
        <v>Chưa cho lên đơn</v>
      </c>
      <c r="D311" s="110">
        <v>280000</v>
      </c>
      <c r="E311" s="110" t="s">
        <v>86</v>
      </c>
      <c r="F311" s="10" t="s">
        <v>87</v>
      </c>
    </row>
    <row r="312" spans="1:6" ht="16.5" hidden="1">
      <c r="A312" s="107">
        <v>782818186</v>
      </c>
      <c r="B312" s="108" t="str">
        <f>IF(A312&lt;&gt;"", VLOOKUP(A312,'Danh Sách Tổng KH'!$A$1:$B$547,2,0),"")</f>
        <v>Trần Thị Thuận</v>
      </c>
      <c r="C312" s="109" t="str">
        <f t="shared" si="2"/>
        <v>Chưa cho lên đơn</v>
      </c>
      <c r="D312" s="110">
        <v>150000</v>
      </c>
      <c r="E312" s="110" t="s">
        <v>86</v>
      </c>
      <c r="F312" s="10" t="s">
        <v>87</v>
      </c>
    </row>
    <row r="313" spans="1:6" ht="16.5" hidden="1">
      <c r="A313" s="107">
        <v>907603189</v>
      </c>
      <c r="B313" s="108" t="str">
        <f>IF(A313&lt;&gt;"", VLOOKUP(A313,'Danh Sách Tổng KH'!$A$1:$B$547,2,0),"")</f>
        <v>Trần Thị Thuận</v>
      </c>
      <c r="C313" s="109" t="str">
        <f t="shared" si="2"/>
        <v>Chưa cho lên đơn</v>
      </c>
      <c r="D313" s="110">
        <v>160000</v>
      </c>
      <c r="E313" s="110" t="s">
        <v>86</v>
      </c>
      <c r="F313" s="10" t="s">
        <v>87</v>
      </c>
    </row>
    <row r="314" spans="1:6" ht="16.5" hidden="1">
      <c r="A314" s="107">
        <v>932923479</v>
      </c>
      <c r="B314" s="108" t="str">
        <f>IF(A314&lt;&gt;"", VLOOKUP(A314,'Danh Sách Tổng KH'!$A$1:$B$547,2,0),"")</f>
        <v>Huỳnh Công Trạng ck pháp y</v>
      </c>
      <c r="C314" s="109" t="str">
        <f t="shared" si="2"/>
        <v>Chưa cho lên đơn</v>
      </c>
      <c r="D314" s="110">
        <v>160000</v>
      </c>
      <c r="E314" s="110" t="s">
        <v>86</v>
      </c>
      <c r="F314" s="10" t="s">
        <v>516</v>
      </c>
    </row>
    <row r="315" spans="1:6" ht="16.5" hidden="1">
      <c r="A315" s="107">
        <v>909114989</v>
      </c>
      <c r="B315" s="108" t="str">
        <f>IF(A315&lt;&gt;"", VLOOKUP(A315,'Danh Sách Tổng KH'!$A$1:$B$547,2,0),"")</f>
        <v>Trần Thị Thuận</v>
      </c>
      <c r="C315" s="109" t="str">
        <f t="shared" si="2"/>
        <v>Chưa cho lên đơn</v>
      </c>
      <c r="D315" s="110">
        <v>250000</v>
      </c>
      <c r="E315" s="110" t="s">
        <v>86</v>
      </c>
      <c r="F315" s="10" t="s">
        <v>87</v>
      </c>
    </row>
    <row r="316" spans="1:6" ht="16.5" hidden="1">
      <c r="A316" s="107">
        <v>937456721</v>
      </c>
      <c r="B316" s="108" t="str">
        <f>IF(A316&lt;&gt;"", VLOOKUP(A316,'Danh Sách Tổng KH'!$A$1:$B$547,2,0),"")</f>
        <v>Nguyễn Hoàng Nhật</v>
      </c>
      <c r="C316" s="109" t="str">
        <f t="shared" si="2"/>
        <v>Chưa cho lên đơn</v>
      </c>
      <c r="D316" s="110">
        <v>330000</v>
      </c>
      <c r="E316" s="110" t="s">
        <v>86</v>
      </c>
      <c r="F316" s="10" t="s">
        <v>87</v>
      </c>
    </row>
    <row r="317" spans="1:6" ht="16.5" hidden="1">
      <c r="A317" s="107">
        <v>977283949</v>
      </c>
      <c r="B317" s="108" t="str">
        <f>IF(A317&lt;&gt;"", VLOOKUP(A317,'Danh Sách Tổng KH'!$A$1:$B$547,2,0),"")</f>
        <v>Trần Thị Mộng Cầm</v>
      </c>
      <c r="C317" s="109" t="str">
        <f t="shared" si="2"/>
        <v>Chưa cho lên đơn</v>
      </c>
      <c r="D317" s="110">
        <v>110000</v>
      </c>
      <c r="E317" s="110" t="s">
        <v>86</v>
      </c>
      <c r="F317" s="10" t="s">
        <v>516</v>
      </c>
    </row>
    <row r="318" spans="1:6" ht="16.5" hidden="1">
      <c r="A318" s="107">
        <v>939359580</v>
      </c>
      <c r="B318" s="108" t="str">
        <f>IF(A318&lt;&gt;"", VLOOKUP(A318,'Danh Sách Tổng KH'!$A$1:$B$547,2,0),"")</f>
        <v>Trần Thị Mỹ Cầm</v>
      </c>
      <c r="C318" s="109" t="str">
        <f t="shared" si="2"/>
        <v>Chưa cho lên đơn</v>
      </c>
      <c r="D318" s="110">
        <v>260000</v>
      </c>
      <c r="E318" s="110" t="s">
        <v>86</v>
      </c>
      <c r="F318" s="10" t="s">
        <v>87</v>
      </c>
    </row>
    <row r="319" spans="1:6" ht="16.5" hidden="1">
      <c r="A319" s="107">
        <v>902670400</v>
      </c>
      <c r="B319" s="108" t="str">
        <f>IF(A319&lt;&gt;"", VLOOKUP(A319,'Danh Sách Tổng KH'!$A$1:$B$547,2,0),"")</f>
        <v>Nguyễn Viên Khoa</v>
      </c>
      <c r="C319" s="109" t="str">
        <f t="shared" si="2"/>
        <v>Chưa cho lên đơn</v>
      </c>
      <c r="D319" s="110">
        <v>50000</v>
      </c>
      <c r="E319" s="110" t="s">
        <v>86</v>
      </c>
      <c r="F319" s="10" t="s">
        <v>87</v>
      </c>
    </row>
    <row r="320" spans="1:6" ht="16.5" hidden="1">
      <c r="A320" s="107">
        <v>777292268</v>
      </c>
      <c r="B320" s="108" t="str">
        <f>IF(A320&lt;&gt;"", VLOOKUP(A320,'Danh Sách Tổng KH'!$A$1:$B$547,2,0),"")</f>
        <v>Nguyễn Thị Đan Thanh</v>
      </c>
      <c r="C320" s="109" t="str">
        <f t="shared" si="2"/>
        <v>Chưa cho lên đơn</v>
      </c>
      <c r="D320" s="110">
        <v>110000</v>
      </c>
      <c r="E320" s="110" t="s">
        <v>86</v>
      </c>
      <c r="F320" s="10" t="s">
        <v>87</v>
      </c>
    </row>
    <row r="321" spans="1:6" ht="16.5" hidden="1">
      <c r="A321" s="107">
        <v>901076758</v>
      </c>
      <c r="B321" s="108" t="str">
        <f>IF(A321&lt;&gt;"", VLOOKUP(A321,'Danh Sách Tổng KH'!$A$1:$B$547,2,0),"")</f>
        <v>Nguyễn Văn Minh</v>
      </c>
      <c r="C321" s="109" t="str">
        <f t="shared" si="2"/>
        <v>Chưa cho lên đơn</v>
      </c>
      <c r="D321" s="110">
        <v>110000</v>
      </c>
      <c r="E321" s="110" t="s">
        <v>86</v>
      </c>
      <c r="F321" s="10" t="s">
        <v>87</v>
      </c>
    </row>
    <row r="322" spans="1:6" ht="16.5" hidden="1">
      <c r="A322" s="107">
        <v>932920400</v>
      </c>
      <c r="B322" s="108" t="str">
        <f>IF(A322&lt;&gt;"", VLOOKUP(A322,'Danh Sách Tổng KH'!$A$1:$B$547,2,0),"")</f>
        <v>Nguyễn Viên Khoa</v>
      </c>
      <c r="C322" s="109" t="str">
        <f t="shared" si="2"/>
        <v>Chưa cho lên đơn</v>
      </c>
      <c r="D322" s="110">
        <v>120000</v>
      </c>
      <c r="E322" s="110" t="s">
        <v>86</v>
      </c>
      <c r="F322" s="10" t="s">
        <v>87</v>
      </c>
    </row>
    <row r="323" spans="1:6" ht="16.5" hidden="1">
      <c r="A323" s="107">
        <v>778112338</v>
      </c>
      <c r="B323" s="108" t="str">
        <f>IF(A323&lt;&gt;"", VLOOKUP(A323,'Danh Sách Tổng KH'!$A$1:$B$547,2,0),"")</f>
        <v>Huỳnh Thành Phước</v>
      </c>
      <c r="C323" s="109" t="str">
        <f t="shared" si="2"/>
        <v>Chưa cho lên đơn</v>
      </c>
      <c r="D323" s="110">
        <v>190000</v>
      </c>
      <c r="E323" s="110" t="s">
        <v>86</v>
      </c>
      <c r="F323" s="10" t="s">
        <v>87</v>
      </c>
    </row>
    <row r="324" spans="1:6" ht="16.5" hidden="1">
      <c r="A324" s="107">
        <v>939962457</v>
      </c>
      <c r="B324" s="108" t="str">
        <f>IF(A324&lt;&gt;"", VLOOKUP(A324,'Danh Sách Tổng KH'!$A$1:$B$547,2,0),"")</f>
        <v>Nguyễn Thị Xuân Liễu</v>
      </c>
      <c r="C324" s="109" t="str">
        <f t="shared" si="2"/>
        <v>Chưa cho lên đơn</v>
      </c>
      <c r="D324" s="110">
        <v>210000</v>
      </c>
      <c r="E324" s="110" t="s">
        <v>86</v>
      </c>
      <c r="F324" s="10" t="s">
        <v>87</v>
      </c>
    </row>
    <row r="325" spans="1:6" ht="16.5" hidden="1">
      <c r="A325" s="107">
        <v>907646875</v>
      </c>
      <c r="B325" s="108" t="str">
        <f>IF(A325&lt;&gt;"", VLOOKUP(A325,'Danh Sách Tổng KH'!$A$1:$B$547,2,0),"")</f>
        <v>Nguyễn Thị Đan Thanh</v>
      </c>
      <c r="C325" s="109" t="str">
        <f t="shared" si="2"/>
        <v>Chưa cho lên đơn</v>
      </c>
      <c r="D325" s="110">
        <v>280000</v>
      </c>
      <c r="E325" s="110" t="s">
        <v>86</v>
      </c>
      <c r="F325" s="10" t="s">
        <v>87</v>
      </c>
    </row>
    <row r="326" spans="1:6" ht="16.5" hidden="1">
      <c r="A326" s="107">
        <v>939205191</v>
      </c>
      <c r="B326" s="108" t="str">
        <f>IF(A326&lt;&gt;"", VLOOKUP(A326,'Danh Sách Tổng KH'!$A$1:$B$547,2,0),"")</f>
        <v>Nguyễn Kim Thanh</v>
      </c>
      <c r="C326" s="109" t="str">
        <f t="shared" si="2"/>
        <v>Chưa cho lên đơn</v>
      </c>
      <c r="D326" s="110">
        <v>320000</v>
      </c>
      <c r="E326" s="110" t="s">
        <v>86</v>
      </c>
      <c r="F326" s="10" t="s">
        <v>87</v>
      </c>
    </row>
    <row r="327" spans="1:6" ht="16.5" hidden="1">
      <c r="A327" s="107">
        <v>939068963</v>
      </c>
      <c r="B327" s="108" t="str">
        <f>IF(A327&lt;&gt;"", VLOOKUP(A327,'Danh Sách Tổng KH'!$A$1:$B$547,2,0),"")</f>
        <v>Nguyễn Thị Hồng Cúc bãi cọc cầu tân hữu mới</v>
      </c>
      <c r="C327" s="109" t="str">
        <f t="shared" si="2"/>
        <v>Chưa cho lên đơn</v>
      </c>
      <c r="D327" s="110">
        <v>100000</v>
      </c>
      <c r="E327" s="110" t="s">
        <v>86</v>
      </c>
      <c r="F327" s="10" t="s">
        <v>87</v>
      </c>
    </row>
    <row r="328" spans="1:6" ht="16.5" hidden="1">
      <c r="A328" s="107">
        <v>932919113</v>
      </c>
      <c r="B328" s="108" t="str">
        <f>IF(A328&lt;&gt;"", VLOOKUP(A328,'Danh Sách Tổng KH'!$A$1:$B$547,2,0),"")</f>
        <v>Nguyễn Minh Chí</v>
      </c>
      <c r="C328" s="109" t="str">
        <f t="shared" si="2"/>
        <v>Chưa cho lên đơn</v>
      </c>
      <c r="D328" s="110">
        <v>160000</v>
      </c>
      <c r="E328" s="110" t="s">
        <v>86</v>
      </c>
      <c r="F328" s="10" t="s">
        <v>87</v>
      </c>
    </row>
    <row r="329" spans="1:6" ht="16.5" hidden="1">
      <c r="A329" s="107">
        <v>939290113</v>
      </c>
      <c r="B329" s="108" t="str">
        <f>IF(A329&lt;&gt;"", VLOOKUP(A329,'Danh Sách Tổng KH'!$A$1:$B$547,2,0),"")</f>
        <v>Hà Thị Ngọc Hà</v>
      </c>
      <c r="C329" s="109" t="str">
        <f t="shared" si="2"/>
        <v>Chưa cho lên đơn</v>
      </c>
      <c r="D329" s="110">
        <v>160000</v>
      </c>
      <c r="E329" s="110" t="s">
        <v>86</v>
      </c>
      <c r="F329" s="10" t="s">
        <v>87</v>
      </c>
    </row>
    <row r="330" spans="1:6" ht="16.5" hidden="1">
      <c r="A330" s="107">
        <v>939618156</v>
      </c>
      <c r="B330" s="108" t="str">
        <f>IF(A330&lt;&gt;"", VLOOKUP(A330,'Danh Sách Tổng KH'!$A$1:$B$547,2,0),"")</f>
        <v>Lữ Ngọc Thảo</v>
      </c>
      <c r="C330" s="109" t="str">
        <f t="shared" si="2"/>
        <v>Chưa cho lên đơn</v>
      </c>
      <c r="D330" s="110">
        <v>190000</v>
      </c>
      <c r="E330" s="110" t="s">
        <v>86</v>
      </c>
      <c r="F330" s="10" t="s">
        <v>87</v>
      </c>
    </row>
    <row r="331" spans="1:6" ht="16.5" hidden="1">
      <c r="A331" s="107">
        <v>899507261</v>
      </c>
      <c r="B331" s="108" t="str">
        <f>IF(A331&lt;&gt;"", VLOOKUP(A331,'Danh Sách Tổng KH'!$A$1:$B$547,2,0),"")</f>
        <v>Nguyễn Thị Mỹ Ngọc</v>
      </c>
      <c r="C331" s="109" t="str">
        <f t="shared" si="2"/>
        <v>Chưa cho lên đơn</v>
      </c>
      <c r="D331" s="110">
        <v>100000</v>
      </c>
      <c r="E331" s="110" t="s">
        <v>86</v>
      </c>
      <c r="F331" s="10" t="s">
        <v>87</v>
      </c>
    </row>
    <row r="332" spans="1:6" ht="16.5" hidden="1">
      <c r="A332" s="107">
        <v>907989874</v>
      </c>
      <c r="B332" s="108" t="str">
        <f>IF(A332&lt;&gt;"", VLOOKUP(A332,'Danh Sách Tổng KH'!$A$1:$B$547,2,0),"")</f>
        <v>Lâm Sơn Hiếu</v>
      </c>
      <c r="C332" s="109" t="str">
        <f t="shared" si="2"/>
        <v>Chưa cho lên đơn</v>
      </c>
      <c r="D332" s="110">
        <v>110000</v>
      </c>
      <c r="E332" s="110" t="s">
        <v>86</v>
      </c>
      <c r="F332" s="10" t="s">
        <v>87</v>
      </c>
    </row>
    <row r="333" spans="1:6" ht="16.5" hidden="1">
      <c r="A333" s="107">
        <v>794335363</v>
      </c>
      <c r="B333" s="108" t="str">
        <f>IF(A333&lt;&gt;"", VLOOKUP(A333,'Danh Sách Tổng KH'!$A$1:$B$547,2,0),"")</f>
        <v>Trần Ngô Anh Thư</v>
      </c>
      <c r="C333" s="109" t="str">
        <f t="shared" si="2"/>
        <v>Chưa cho lên đơn</v>
      </c>
      <c r="D333" s="110">
        <v>160000</v>
      </c>
      <c r="E333" s="110" t="s">
        <v>86</v>
      </c>
      <c r="F333" s="10" t="s">
        <v>87</v>
      </c>
    </row>
    <row r="334" spans="1:6" ht="16.5" hidden="1">
      <c r="A334" s="107">
        <v>939523819</v>
      </c>
      <c r="B334" s="108" t="str">
        <f>IF(A334&lt;&gt;"", VLOOKUP(A334,'Danh Sách Tổng KH'!$A$1:$B$547,2,0),"")</f>
        <v>Lê Tuấn Phương</v>
      </c>
      <c r="C334" s="109" t="str">
        <f t="shared" si="2"/>
        <v>Chưa cho lên đơn</v>
      </c>
      <c r="D334" s="110">
        <v>250000</v>
      </c>
      <c r="E334" s="110" t="s">
        <v>86</v>
      </c>
      <c r="F334" s="10" t="s">
        <v>87</v>
      </c>
    </row>
    <row r="335" spans="1:6" ht="16.5" hidden="1">
      <c r="A335" s="107">
        <v>939890980</v>
      </c>
      <c r="B335" s="108" t="str">
        <f>IF(A335&lt;&gt;"", VLOOKUP(A335,'Danh Sách Tổng KH'!$A$1:$B$547,2,0),"")</f>
        <v>Nguyễn Thanh Hải Tuấn sắt p3</v>
      </c>
      <c r="C335" s="109" t="str">
        <f t="shared" si="2"/>
        <v>Chưa cho lên đơn</v>
      </c>
      <c r="D335" s="110">
        <v>100000</v>
      </c>
      <c r="E335" s="110"/>
    </row>
    <row r="336" spans="1:6" ht="16.5" hidden="1">
      <c r="A336" s="107">
        <v>704797978</v>
      </c>
      <c r="B336" s="108" t="str">
        <f>IF(A336&lt;&gt;"", VLOOKUP(A336,'Danh Sách Tổng KH'!$A$1:$B$547,2,0),"")</f>
        <v>Võ Văn Kiệt</v>
      </c>
      <c r="C336" s="109" t="str">
        <f t="shared" si="2"/>
        <v>Chưa cho lên đơn</v>
      </c>
      <c r="D336" s="110">
        <v>220000</v>
      </c>
      <c r="E336" s="110"/>
    </row>
    <row r="337" spans="1:6" ht="16.5" hidden="1">
      <c r="A337" s="107">
        <v>774019919</v>
      </c>
      <c r="B337" s="108" t="str">
        <f>IF(A337&lt;&gt;"", VLOOKUP(A337,'Danh Sách Tổng KH'!$A$1:$B$547,2,0),"")</f>
        <v>Võ Minh Anh dia ban Ci Nguyet khu kim cuong</v>
      </c>
      <c r="C337" s="109" t="str">
        <f t="shared" si="2"/>
        <v>Chưa cho lên đơn</v>
      </c>
      <c r="D337" s="110">
        <v>230000</v>
      </c>
      <c r="E337" s="110"/>
    </row>
    <row r="338" spans="1:6" ht="16.5" hidden="1">
      <c r="A338" s="107">
        <v>907880007</v>
      </c>
      <c r="B338" s="108" t="str">
        <f>IF(A338&lt;&gt;"", VLOOKUP(A338,'Danh Sách Tổng KH'!$A$1:$B$547,2,0),"")</f>
        <v>Võ Văn Kiệt</v>
      </c>
      <c r="C338" s="109" t="str">
        <f t="shared" si="2"/>
        <v>Chưa cho lên đơn</v>
      </c>
      <c r="D338" s="110">
        <v>250000</v>
      </c>
      <c r="E338" s="110"/>
    </row>
    <row r="339" spans="1:6" ht="15" hidden="1" customHeight="1">
      <c r="A339" s="110"/>
      <c r="B339" s="108" t="str">
        <f>IF(A339&lt;&gt;"", VLOOKUP(A339,'Danh Sách Tổng KH'!$A$1:$B$547,2,0),"")</f>
        <v/>
      </c>
      <c r="C339" s="109" t="str">
        <f t="shared" si="2"/>
        <v/>
      </c>
      <c r="D339" s="110"/>
      <c r="E339" s="110"/>
    </row>
    <row r="340" spans="1:6" ht="16.5" hidden="1">
      <c r="A340" s="107">
        <v>907095968</v>
      </c>
      <c r="B340" s="108" t="str">
        <f>IF(A340&lt;&gt;"", VLOOKUP(A340,'Danh Sách Tổng KH'!$A$1:$B$547,2,0),"")</f>
        <v>Trần Thành Tuấn</v>
      </c>
      <c r="C340" s="109" t="str">
        <f t="shared" si="2"/>
        <v>Chưa cho lên đơn</v>
      </c>
      <c r="D340" s="110">
        <v>100000</v>
      </c>
      <c r="E340" s="110" t="s">
        <v>86</v>
      </c>
      <c r="F340" s="10" t="s">
        <v>87</v>
      </c>
    </row>
    <row r="341" spans="1:6" ht="16.5" hidden="1">
      <c r="A341" s="107">
        <v>907916791</v>
      </c>
      <c r="B341" s="108" t="str">
        <f>IF(A341&lt;&gt;"", VLOOKUP(A341,'Danh Sách Tổng KH'!$A$1:$B$547,2,0),"")</f>
        <v>Nguyễn Hoài Linh</v>
      </c>
      <c r="C341" s="109" t="str">
        <f t="shared" si="2"/>
        <v>Chưa cho lên đơn</v>
      </c>
      <c r="D341" s="110">
        <v>150000</v>
      </c>
      <c r="E341" s="110" t="s">
        <v>86</v>
      </c>
      <c r="F341" s="10" t="s">
        <v>87</v>
      </c>
    </row>
    <row r="342" spans="1:6" ht="16.5" hidden="1">
      <c r="A342" s="107">
        <v>907602719</v>
      </c>
      <c r="B342" s="108" t="str">
        <f>IF(A342&lt;&gt;"", VLOOKUP(A342,'Danh Sách Tổng KH'!$A$1:$B$547,2,0),"")</f>
        <v>Nguyễn Thị Thùy Loan</v>
      </c>
      <c r="C342" s="109" t="str">
        <f t="shared" si="2"/>
        <v>Chưa cho lên đơn</v>
      </c>
      <c r="D342" s="110">
        <v>400000</v>
      </c>
      <c r="E342" s="110" t="s">
        <v>86</v>
      </c>
      <c r="F342" s="10" t="s">
        <v>87</v>
      </c>
    </row>
    <row r="343" spans="1:6" ht="16.5" hidden="1">
      <c r="A343" s="107">
        <v>763222366</v>
      </c>
      <c r="B343" s="108" t="str">
        <f>IF(A343&lt;&gt;"", VLOOKUP(A343,'Danh Sách Tổng KH'!$A$1:$B$547,2,0),"")</f>
        <v>Phan Văn Tưởng</v>
      </c>
      <c r="C343" s="109" t="str">
        <f t="shared" si="2"/>
        <v>Chưa cho lên đơn</v>
      </c>
      <c r="D343" s="110">
        <v>10000</v>
      </c>
      <c r="E343" s="110" t="s">
        <v>86</v>
      </c>
      <c r="F343" s="10" t="s">
        <v>87</v>
      </c>
    </row>
    <row r="344" spans="1:6" ht="16.5" hidden="1">
      <c r="A344" s="107">
        <v>939359580</v>
      </c>
      <c r="B344" s="108" t="str">
        <f>IF(A344&lt;&gt;"", VLOOKUP(A344,'Danh Sách Tổng KH'!$A$1:$B$547,2,0),"")</f>
        <v>Trần Thị Mỹ Cầm</v>
      </c>
      <c r="C344" s="109" t="str">
        <f t="shared" si="2"/>
        <v>Chưa cho lên đơn</v>
      </c>
      <c r="D344" s="110">
        <v>260000</v>
      </c>
      <c r="E344" s="110" t="s">
        <v>86</v>
      </c>
      <c r="F344" s="10" t="s">
        <v>87</v>
      </c>
    </row>
    <row r="345" spans="1:6" ht="16.5" hidden="1">
      <c r="A345" s="107">
        <v>977283949</v>
      </c>
      <c r="B345" s="108" t="str">
        <f>IF(A345&lt;&gt;"", VLOOKUP(A345,'Danh Sách Tổng KH'!$A$1:$B$547,2,0),"")</f>
        <v>Trần Thị Mộng Cầm</v>
      </c>
      <c r="C345" s="109" t="str">
        <f t="shared" si="2"/>
        <v>Chưa cho lên đơn</v>
      </c>
      <c r="D345" s="110">
        <v>290000</v>
      </c>
      <c r="E345" s="110" t="s">
        <v>86</v>
      </c>
      <c r="F345" s="10" t="s">
        <v>87</v>
      </c>
    </row>
    <row r="346" spans="1:6" ht="16.5" hidden="1">
      <c r="A346" s="107">
        <v>937456721</v>
      </c>
      <c r="B346" s="108" t="str">
        <f>IF(A346&lt;&gt;"", VLOOKUP(A346,'Danh Sách Tổng KH'!$A$1:$B$547,2,0),"")</f>
        <v>Nguyễn Hoàng Nhật</v>
      </c>
      <c r="C346" s="109" t="str">
        <f t="shared" si="2"/>
        <v>Chưa cho lên đơn</v>
      </c>
      <c r="D346" s="110">
        <v>320000</v>
      </c>
      <c r="E346" s="110" t="s">
        <v>86</v>
      </c>
      <c r="F346" s="10" t="s">
        <v>87</v>
      </c>
    </row>
    <row r="347" spans="1:6" ht="16.5" hidden="1">
      <c r="A347" s="107">
        <v>777292268</v>
      </c>
      <c r="B347" s="108" t="str">
        <f>IF(A347&lt;&gt;"", VLOOKUP(A347,'Danh Sách Tổng KH'!$A$1:$B$547,2,0),"")</f>
        <v>Nguyễn Thị Đan Thanh</v>
      </c>
      <c r="C347" s="109" t="str">
        <f t="shared" si="2"/>
        <v>Chưa cho lên đơn</v>
      </c>
      <c r="D347" s="110">
        <v>110000</v>
      </c>
      <c r="E347" s="110" t="s">
        <v>86</v>
      </c>
      <c r="F347" s="10" t="s">
        <v>87</v>
      </c>
    </row>
    <row r="348" spans="1:6" ht="16.5" hidden="1">
      <c r="A348" s="107">
        <v>907646875</v>
      </c>
      <c r="B348" s="108" t="str">
        <f>IF(A348&lt;&gt;"", VLOOKUP(A348,'Danh Sách Tổng KH'!$A$1:$B$547,2,0),"")</f>
        <v>Nguyễn Thị Đan Thanh</v>
      </c>
      <c r="C348" s="109" t="str">
        <f t="shared" si="2"/>
        <v>Chưa cho lên đơn</v>
      </c>
      <c r="D348" s="110">
        <v>270000</v>
      </c>
      <c r="E348" s="110" t="s">
        <v>86</v>
      </c>
      <c r="F348" s="10" t="s">
        <v>87</v>
      </c>
    </row>
    <row r="349" spans="1:6" ht="16.5" hidden="1">
      <c r="A349" s="107">
        <v>899507261</v>
      </c>
      <c r="B349" s="108" t="str">
        <f>IF(A349&lt;&gt;"", VLOOKUP(A349,'Danh Sách Tổng KH'!$A$1:$B$547,2,0),"")</f>
        <v>Nguyễn Thị Mỹ Ngọc</v>
      </c>
      <c r="C349" s="109" t="str">
        <f t="shared" si="2"/>
        <v>Chưa cho lên đơn</v>
      </c>
      <c r="D349" s="110">
        <v>100000</v>
      </c>
      <c r="E349" s="110" t="s">
        <v>86</v>
      </c>
      <c r="F349" s="10" t="s">
        <v>87</v>
      </c>
    </row>
    <row r="350" spans="1:6" ht="16.5" hidden="1">
      <c r="A350" s="107">
        <v>794335363</v>
      </c>
      <c r="B350" s="108" t="str">
        <f>IF(A350&lt;&gt;"", VLOOKUP(A350,'Danh Sách Tổng KH'!$A$1:$B$547,2,0),"")</f>
        <v>Trần Ngô Anh Thư</v>
      </c>
      <c r="C350" s="109" t="str">
        <f t="shared" si="2"/>
        <v>Chưa cho lên đơn</v>
      </c>
      <c r="D350" s="110">
        <v>160000</v>
      </c>
      <c r="E350" s="110" t="s">
        <v>86</v>
      </c>
      <c r="F350" s="10" t="s">
        <v>87</v>
      </c>
    </row>
    <row r="351" spans="1:6" ht="16.5" hidden="1">
      <c r="A351" s="107">
        <v>907989874</v>
      </c>
      <c r="B351" s="108" t="str">
        <f>IF(A351&lt;&gt;"", VLOOKUP(A351,'Danh Sách Tổng KH'!$A$1:$B$547,2,0),"")</f>
        <v>Lâm Sơn Hiếu</v>
      </c>
      <c r="C351" s="109" t="str">
        <f t="shared" si="2"/>
        <v>Chưa cho lên đơn</v>
      </c>
      <c r="D351" s="110">
        <v>100000</v>
      </c>
      <c r="E351" s="110"/>
    </row>
    <row r="352" spans="1:6" ht="16.5" hidden="1">
      <c r="A352" s="107">
        <v>939890980</v>
      </c>
      <c r="B352" s="108" t="str">
        <f>IF(A352&lt;&gt;"", VLOOKUP(A352,'Danh Sách Tổng KH'!$A$1:$B$547,2,0),"")</f>
        <v>Nguyễn Thanh Hải Tuấn sắt p3</v>
      </c>
      <c r="C352" s="109" t="str">
        <f t="shared" si="2"/>
        <v>Chưa cho lên đơn</v>
      </c>
      <c r="D352" s="110">
        <v>100000</v>
      </c>
      <c r="E352" s="110"/>
    </row>
    <row r="353" spans="1:5" ht="16.5" hidden="1">
      <c r="A353" s="107">
        <v>939068963</v>
      </c>
      <c r="B353" s="108" t="str">
        <f>IF(A353&lt;&gt;"", VLOOKUP(A353,'Danh Sách Tổng KH'!$A$1:$B$547,2,0),"")</f>
        <v>Nguyễn Thị Hồng Cúc bãi cọc cầu tân hữu mới</v>
      </c>
      <c r="C353" s="109" t="str">
        <f t="shared" si="2"/>
        <v>Chưa cho lên đơn</v>
      </c>
      <c r="D353" s="110">
        <v>110000</v>
      </c>
      <c r="E353" s="110"/>
    </row>
    <row r="354" spans="1:5" ht="16.5" hidden="1">
      <c r="A354" s="107">
        <v>939345322</v>
      </c>
      <c r="B354" s="108" t="str">
        <f>IF(A354&lt;&gt;"", VLOOKUP(A354,'Danh Sách Tổng KH'!$A$1:$B$547,2,0),"")</f>
        <v>Sơn Thị Bạch Cúc</v>
      </c>
      <c r="C354" s="109" t="str">
        <f t="shared" si="2"/>
        <v>Chưa cho lên đơn</v>
      </c>
      <c r="D354" s="110">
        <v>110000</v>
      </c>
      <c r="E354" s="110"/>
    </row>
    <row r="355" spans="1:5" ht="16.5" hidden="1">
      <c r="A355" s="107">
        <v>782818186</v>
      </c>
      <c r="B355" s="108" t="str">
        <f>IF(A355&lt;&gt;"", VLOOKUP(A355,'Danh Sách Tổng KH'!$A$1:$B$547,2,0),"")</f>
        <v>Trần Thị Thuận</v>
      </c>
      <c r="C355" s="109" t="str">
        <f t="shared" si="2"/>
        <v>Chưa cho lên đơn</v>
      </c>
      <c r="D355" s="110">
        <v>150000</v>
      </c>
      <c r="E355" s="110"/>
    </row>
    <row r="356" spans="1:5" ht="16.5" hidden="1">
      <c r="A356" s="107">
        <v>907603189</v>
      </c>
      <c r="B356" s="108" t="str">
        <f>IF(A356&lt;&gt;"", VLOOKUP(A356,'Danh Sách Tổng KH'!$A$1:$B$547,2,0),"")</f>
        <v>Trần Thị Thuận</v>
      </c>
      <c r="C356" s="109" t="str">
        <f t="shared" si="2"/>
        <v>Chưa cho lên đơn</v>
      </c>
      <c r="D356" s="110">
        <v>160000</v>
      </c>
      <c r="E356" s="110"/>
    </row>
    <row r="357" spans="1:5" ht="16.5" hidden="1">
      <c r="A357" s="107">
        <v>932919113</v>
      </c>
      <c r="B357" s="108" t="str">
        <f>IF(A357&lt;&gt;"", VLOOKUP(A357,'Danh Sách Tổng KH'!$A$1:$B$547,2,0),"")</f>
        <v>Nguyễn Minh Chí</v>
      </c>
      <c r="C357" s="109" t="str">
        <f t="shared" si="2"/>
        <v>Chưa cho lên đơn</v>
      </c>
      <c r="D357" s="110">
        <v>160000</v>
      </c>
      <c r="E357" s="110"/>
    </row>
    <row r="358" spans="1:5" ht="16.5" hidden="1">
      <c r="A358" s="107">
        <v>907880007</v>
      </c>
      <c r="B358" s="108" t="str">
        <f>IF(A358&lt;&gt;"", VLOOKUP(A358,'Danh Sách Tổng KH'!$A$1:$B$547,2,0),"")</f>
        <v>Võ Văn Kiệt</v>
      </c>
      <c r="C358" s="109" t="str">
        <f t="shared" si="2"/>
        <v>Chưa cho lên đơn</v>
      </c>
      <c r="D358" s="110">
        <v>250000</v>
      </c>
      <c r="E358" s="110"/>
    </row>
    <row r="359" spans="1:5" ht="16.5" hidden="1">
      <c r="A359" s="107">
        <v>909114989</v>
      </c>
      <c r="B359" s="108" t="str">
        <f>IF(A359&lt;&gt;"", VLOOKUP(A359,'Danh Sách Tổng KH'!$A$1:$B$547,2,0),"")</f>
        <v>Trần Thị Thuận</v>
      </c>
      <c r="C359" s="109" t="str">
        <f t="shared" si="2"/>
        <v>Chưa cho lên đơn</v>
      </c>
      <c r="D359" s="110">
        <v>260000</v>
      </c>
      <c r="E359" s="110"/>
    </row>
    <row r="360" spans="1:5" ht="16.5" hidden="1">
      <c r="A360" s="107">
        <v>939523819</v>
      </c>
      <c r="B360" s="108" t="str">
        <f>IF(A360&lt;&gt;"", VLOOKUP(A360,'Danh Sách Tổng KH'!$A$1:$B$547,2,0),"")</f>
        <v>Lê Tuấn Phương</v>
      </c>
      <c r="C360" s="109" t="str">
        <f t="shared" si="2"/>
        <v>Chưa cho lên đơn</v>
      </c>
      <c r="D360" s="110">
        <v>260000</v>
      </c>
      <c r="E360" s="110"/>
    </row>
    <row r="361" spans="1:5" ht="15" hidden="1">
      <c r="A361" s="110"/>
      <c r="B361" s="108" t="str">
        <f>IF(A361&lt;&gt;"", VLOOKUP(A361,'Danh Sách Tổng KH'!$A$1:$B$547,2,0),"")</f>
        <v/>
      </c>
      <c r="C361" s="109" t="str">
        <f t="shared" si="2"/>
        <v/>
      </c>
      <c r="D361" s="110"/>
      <c r="E361" s="110"/>
    </row>
    <row r="362" spans="1:5" ht="16.5" hidden="1">
      <c r="A362" s="107">
        <v>907989874</v>
      </c>
      <c r="B362" s="108" t="str">
        <f>IF(A362&lt;&gt;"", VLOOKUP(A362,'Danh Sách Tổng KH'!$A$1:$B$547,2,0),"")</f>
        <v>Lâm Sơn Hiếu</v>
      </c>
      <c r="C362" s="109" t="str">
        <f t="shared" si="2"/>
        <v>Chưa cho lên đơn</v>
      </c>
      <c r="D362" s="110">
        <v>60000</v>
      </c>
      <c r="E362" s="110" t="s">
        <v>145</v>
      </c>
    </row>
    <row r="363" spans="1:5" ht="16.5" hidden="1">
      <c r="A363" s="107">
        <v>795852222</v>
      </c>
      <c r="B363" s="108" t="str">
        <f>IF(A363&lt;&gt;"", VLOOKUP(A363,'Danh Sách Tổng KH'!$A$1:$B$547,2,0),"")</f>
        <v>HKD BUN AQUA COFFEE</v>
      </c>
      <c r="C363" s="109" t="str">
        <f t="shared" si="2"/>
        <v>Chưa cho lên đơn</v>
      </c>
      <c r="D363" s="110">
        <v>170000</v>
      </c>
      <c r="E363" s="110" t="s">
        <v>145</v>
      </c>
    </row>
    <row r="364" spans="1:5" ht="16.5" hidden="1">
      <c r="A364" s="107">
        <v>939068963</v>
      </c>
      <c r="B364" s="108" t="str">
        <f>IF(A364&lt;&gt;"", VLOOKUP(A364,'Danh Sách Tổng KH'!$A$1:$B$547,2,0),"")</f>
        <v>Nguyễn Thị Hồng Cúc bãi cọc cầu tân hữu mới</v>
      </c>
      <c r="C364" s="109" t="str">
        <f t="shared" si="2"/>
        <v>Chưa cho lên đơn</v>
      </c>
      <c r="D364" s="110">
        <v>100000</v>
      </c>
      <c r="E364" s="110"/>
    </row>
    <row r="365" spans="1:5" ht="16.5" hidden="1">
      <c r="A365" s="107">
        <v>932919113</v>
      </c>
      <c r="B365" s="108" t="str">
        <f>IF(A365&lt;&gt;"", VLOOKUP(A365,'Danh Sách Tổng KH'!$A$1:$B$547,2,0),"")</f>
        <v>Nguyễn Minh Chí</v>
      </c>
      <c r="C365" s="109" t="str">
        <f t="shared" si="2"/>
        <v>Chưa cho lên đơn</v>
      </c>
      <c r="D365" s="110">
        <v>160000</v>
      </c>
      <c r="E365" s="110"/>
    </row>
    <row r="366" spans="1:5" ht="16.5" hidden="1">
      <c r="A366" s="107">
        <v>902542351</v>
      </c>
      <c r="B366" s="108" t="str">
        <f>IF(A366&lt;&gt;"", VLOOKUP(A366,'Danh Sách Tổng KH'!$A$1:$B$547,2,0),"")</f>
        <v>Phạm Quang Vĩnh</v>
      </c>
      <c r="C366" s="109" t="str">
        <f t="shared" si="2"/>
        <v>Chưa cho lên đơn</v>
      </c>
      <c r="D366" s="110">
        <v>210000</v>
      </c>
      <c r="E366" s="110"/>
    </row>
    <row r="367" spans="1:5" ht="16.5" hidden="1">
      <c r="A367" s="107">
        <v>937456721</v>
      </c>
      <c r="B367" s="108" t="str">
        <f>IF(A367&lt;&gt;"", VLOOKUP(A367,'Danh Sách Tổng KH'!$A$1:$B$547,2,0),"")</f>
        <v>Nguyễn Hoàng Nhật</v>
      </c>
      <c r="C367" s="109" t="str">
        <f t="shared" si="2"/>
        <v>Chưa cho lên đơn</v>
      </c>
      <c r="D367" s="110">
        <v>340000</v>
      </c>
      <c r="E367" s="110"/>
    </row>
    <row r="368" spans="1:5" ht="16.5" hidden="1">
      <c r="A368" s="107">
        <v>899507261</v>
      </c>
      <c r="B368" s="108" t="str">
        <f>IF(A368&lt;&gt;"", VLOOKUP(A368,'Danh Sách Tổng KH'!$A$1:$B$547,2,0),"")</f>
        <v>Nguyễn Thị Mỹ Ngọc</v>
      </c>
      <c r="C368" s="109" t="str">
        <f t="shared" si="2"/>
        <v>Chưa cho lên đơn</v>
      </c>
      <c r="D368" s="110">
        <v>100000</v>
      </c>
      <c r="E368" s="110"/>
    </row>
    <row r="369" spans="1:5" ht="16.5" hidden="1">
      <c r="A369" s="107">
        <v>939231083</v>
      </c>
      <c r="B369" s="108" t="str">
        <f>IF(A369&lt;&gt;"", VLOOKUP(A369,'Danh Sách Tổng KH'!$A$1:$B$547,2,0),"")</f>
        <v>Quan Phước Thành</v>
      </c>
      <c r="C369" s="109" t="str">
        <f t="shared" si="2"/>
        <v>Chưa cho lên đơn</v>
      </c>
      <c r="D369" s="110">
        <v>160000</v>
      </c>
      <c r="E369" s="110"/>
    </row>
    <row r="370" spans="1:5" ht="16.5" hidden="1">
      <c r="A370" s="107">
        <v>901076758</v>
      </c>
      <c r="B370" s="108" t="str">
        <f>IF(A370&lt;&gt;"", VLOOKUP(A370,'Danh Sách Tổng KH'!$A$1:$B$547,2,0),"")</f>
        <v>Nguyễn Văn Minh</v>
      </c>
      <c r="C370" s="109" t="str">
        <f t="shared" si="2"/>
        <v>Chưa cho lên đơn</v>
      </c>
      <c r="D370" s="110">
        <v>110000</v>
      </c>
      <c r="E370" s="110"/>
    </row>
    <row r="371" spans="1:5" ht="16.5" hidden="1">
      <c r="A371" s="107">
        <v>939290113</v>
      </c>
      <c r="B371" s="108" t="str">
        <f>IF(A371&lt;&gt;"", VLOOKUP(A371,'Danh Sách Tổng KH'!$A$1:$B$547,2,0),"")</f>
        <v>Hà Thị Ngọc Hà</v>
      </c>
      <c r="C371" s="109" t="str">
        <f t="shared" si="2"/>
        <v>Chưa cho lên đơn</v>
      </c>
      <c r="D371" s="110">
        <v>160000</v>
      </c>
      <c r="E371" s="110"/>
    </row>
    <row r="372" spans="1:5" ht="16.5" hidden="1">
      <c r="A372" s="107">
        <v>977283949</v>
      </c>
      <c r="B372" s="108" t="str">
        <f>IF(A372&lt;&gt;"", VLOOKUP(A372,'Danh Sách Tổng KH'!$A$1:$B$547,2,0),"")</f>
        <v>Trần Thị Mộng Cầm</v>
      </c>
      <c r="C372" s="109" t="str">
        <f t="shared" si="2"/>
        <v>Chưa cho lên đơn</v>
      </c>
      <c r="D372" s="110">
        <v>280000</v>
      </c>
      <c r="E372" s="110"/>
    </row>
    <row r="373" spans="1:5" ht="16.5" hidden="1">
      <c r="A373" s="107">
        <v>939359580</v>
      </c>
      <c r="B373" s="108" t="str">
        <f>IF(A373&lt;&gt;"", VLOOKUP(A373,'Danh Sách Tổng KH'!$A$1:$B$547,2,0),"")</f>
        <v>Trần Thị Mỹ Cầm</v>
      </c>
      <c r="C373" s="109" t="str">
        <f t="shared" si="2"/>
        <v>Chưa cho lên đơn</v>
      </c>
      <c r="D373" s="110">
        <v>250000</v>
      </c>
      <c r="E373" s="110"/>
    </row>
    <row r="374" spans="1:5" ht="16.5" hidden="1">
      <c r="A374" s="107">
        <v>907646875</v>
      </c>
      <c r="B374" s="108" t="str">
        <f>IF(A374&lt;&gt;"", VLOOKUP(A374,'Danh Sách Tổng KH'!$A$1:$B$547,2,0),"")</f>
        <v>Nguyễn Thị Đan Thanh</v>
      </c>
      <c r="C374" s="109" t="str">
        <f t="shared" si="2"/>
        <v>Chưa cho lên đơn</v>
      </c>
      <c r="D374" s="110">
        <v>270000</v>
      </c>
      <c r="E374" s="110"/>
    </row>
    <row r="375" spans="1:5" ht="16.5" hidden="1">
      <c r="A375" s="107">
        <v>777292268</v>
      </c>
      <c r="B375" s="108" t="str">
        <f>IF(A375&lt;&gt;"", VLOOKUP(A375,'Danh Sách Tổng KH'!$A$1:$B$547,2,0),"")</f>
        <v>Nguyễn Thị Đan Thanh</v>
      </c>
      <c r="C375" s="109" t="str">
        <f t="shared" si="2"/>
        <v>Chưa cho lên đơn</v>
      </c>
      <c r="D375" s="110">
        <v>100000</v>
      </c>
      <c r="E375" s="110"/>
    </row>
    <row r="376" spans="1:5" ht="16.5" hidden="1">
      <c r="A376" s="107">
        <v>907916791</v>
      </c>
      <c r="B376" s="108" t="str">
        <f>IF(A376&lt;&gt;"", VLOOKUP(A376,'Danh Sách Tổng KH'!$A$1:$B$547,2,0),"")</f>
        <v>Nguyễn Hoài Linh</v>
      </c>
      <c r="C376" s="109" t="str">
        <f t="shared" si="2"/>
        <v>Chưa cho lên đơn</v>
      </c>
      <c r="D376" s="110">
        <v>150000</v>
      </c>
      <c r="E376" s="110"/>
    </row>
    <row r="377" spans="1:5" ht="16.5" hidden="1">
      <c r="A377" s="107">
        <v>939772712</v>
      </c>
      <c r="B377" s="108" t="str">
        <f>IF(A377&lt;&gt;"", VLOOKUP(A377,'Danh Sách Tổng KH'!$A$1:$B$547,2,0),"")</f>
        <v>Tô Hải Vân</v>
      </c>
      <c r="C377" s="109" t="str">
        <f t="shared" si="2"/>
        <v>Chưa cho lên đơn</v>
      </c>
      <c r="D377" s="110">
        <v>490000</v>
      </c>
      <c r="E377" s="110"/>
    </row>
    <row r="378" spans="1:5" ht="16.5" hidden="1">
      <c r="A378" s="107">
        <v>782818186</v>
      </c>
      <c r="B378" s="108" t="str">
        <f>IF(A378&lt;&gt;"", VLOOKUP(A378,'Danh Sách Tổng KH'!$A$1:$B$547,2,0),"")</f>
        <v>Trần Thị Thuận</v>
      </c>
      <c r="C378" s="109" t="str">
        <f t="shared" si="2"/>
        <v>Chưa cho lên đơn</v>
      </c>
      <c r="D378" s="110">
        <v>150000</v>
      </c>
      <c r="E378" s="110"/>
    </row>
    <row r="379" spans="1:5" ht="16.5" hidden="1">
      <c r="A379" s="107">
        <v>909114989</v>
      </c>
      <c r="B379" s="108" t="str">
        <f>IF(A379&lt;&gt;"", VLOOKUP(A379,'Danh Sách Tổng KH'!$A$1:$B$547,2,0),"")</f>
        <v>Trần Thị Thuận</v>
      </c>
      <c r="C379" s="109" t="str">
        <f t="shared" si="2"/>
        <v>Chưa cho lên đơn</v>
      </c>
      <c r="D379" s="110">
        <v>250000</v>
      </c>
      <c r="E379" s="110"/>
    </row>
    <row r="380" spans="1:5" ht="16.5" hidden="1">
      <c r="A380" s="107">
        <v>907603189</v>
      </c>
      <c r="B380" s="108" t="str">
        <f>IF(A380&lt;&gt;"", VLOOKUP(A380,'Danh Sách Tổng KH'!$A$1:$B$547,2,0),"")</f>
        <v>Trần Thị Thuận</v>
      </c>
      <c r="C380" s="109" t="str">
        <f t="shared" si="2"/>
        <v>Chưa cho lên đơn</v>
      </c>
      <c r="D380" s="110">
        <v>160000</v>
      </c>
      <c r="E380" s="110"/>
    </row>
    <row r="381" spans="1:5" ht="16.5" hidden="1">
      <c r="A381" s="107">
        <v>763222366</v>
      </c>
      <c r="B381" s="108" t="str">
        <f>IF(A381&lt;&gt;"", VLOOKUP(A381,'Danh Sách Tổng KH'!$A$1:$B$547,2,0),"")</f>
        <v>Phan Văn Tưởng</v>
      </c>
      <c r="C381" s="109" t="str">
        <f t="shared" si="2"/>
        <v>Chưa cho lên đơn</v>
      </c>
      <c r="D381" s="110">
        <v>160000</v>
      </c>
      <c r="E381" s="110"/>
    </row>
    <row r="382" spans="1:5" ht="16.5" hidden="1">
      <c r="A382" s="107">
        <v>796838336</v>
      </c>
      <c r="B382" s="108" t="str">
        <f>IF(A382&lt;&gt;"", VLOOKUP(A382,'Danh Sách Tổng KH'!$A$1:$B$547,2,0),"")</f>
        <v>Nguyễn Hữu Lực</v>
      </c>
      <c r="C382" s="109" t="str">
        <f t="shared" si="2"/>
        <v>Chưa cho lên đơn</v>
      </c>
      <c r="D382" s="110">
        <v>150000</v>
      </c>
      <c r="E382" s="110"/>
    </row>
    <row r="383" spans="1:5" ht="16.5" hidden="1">
      <c r="A383" s="107">
        <v>907769182</v>
      </c>
      <c r="B383" s="108" t="str">
        <f>IF(A383&lt;&gt;"", VLOOKUP(A383,'Danh Sách Tổng KH'!$A$1:$B$547,2,0),"")</f>
        <v>Trần Thanh Tuấn CA</v>
      </c>
      <c r="C383" s="109" t="str">
        <f t="shared" si="2"/>
        <v>Chưa cho lên đơn</v>
      </c>
      <c r="D383" s="110">
        <v>100000</v>
      </c>
      <c r="E383" s="110"/>
    </row>
    <row r="384" spans="1:5" ht="16.5" hidden="1">
      <c r="A384" s="107">
        <v>939203563</v>
      </c>
      <c r="B384" s="108" t="str">
        <f>IF(A384&lt;&gt;"", VLOOKUP(A384,'Danh Sách Tổng KH'!$A$1:$B$547,2,0),"")</f>
        <v>Khưu Quốc Cường CA</v>
      </c>
      <c r="C384" s="109" t="str">
        <f t="shared" si="2"/>
        <v>Chưa cho lên đơn</v>
      </c>
      <c r="D384" s="110">
        <v>90000</v>
      </c>
      <c r="E384" s="110"/>
    </row>
    <row r="385" spans="1:6" ht="16.5" hidden="1">
      <c r="A385" s="107">
        <v>939865286</v>
      </c>
      <c r="B385" s="108" t="str">
        <f>IF(A385&lt;&gt;"", VLOOKUP(A385,'Danh Sách Tổng KH'!$A$1:$B$547,2,0),"")</f>
        <v>Lê Văn Quân hẻm yagami</v>
      </c>
      <c r="C385" s="109" t="str">
        <f t="shared" si="2"/>
        <v>Chưa cho lên đơn</v>
      </c>
      <c r="D385" s="110">
        <v>220000</v>
      </c>
      <c r="E385" s="110"/>
    </row>
    <row r="386" spans="1:6" ht="16.5" hidden="1">
      <c r="A386" s="107">
        <v>794335363</v>
      </c>
      <c r="B386" s="108" t="str">
        <f>IF(A386&lt;&gt;"", VLOOKUP(A386,'Danh Sách Tổng KH'!$A$1:$B$547,2,0),"")</f>
        <v>Trần Ngô Anh Thư</v>
      </c>
      <c r="C386" s="109" t="str">
        <f t="shared" si="2"/>
        <v>Chưa cho lên đơn</v>
      </c>
      <c r="D386" s="110">
        <v>160000</v>
      </c>
      <c r="E386" s="110"/>
    </row>
    <row r="387" spans="1:6" ht="15" hidden="1">
      <c r="A387" s="120">
        <v>795852222</v>
      </c>
      <c r="B387" s="108" t="str">
        <f>IF(A387&lt;&gt;"", VLOOKUP(A387,'Danh Sách Tổng KH'!$A$1:$B$547,2,0),"")</f>
        <v>HKD BUN AQUA COFFEE</v>
      </c>
      <c r="C387" s="109" t="str">
        <f t="shared" si="2"/>
        <v>Chưa cho lên đơn</v>
      </c>
      <c r="D387" s="110">
        <v>160000</v>
      </c>
      <c r="E387" s="110" t="s">
        <v>86</v>
      </c>
      <c r="F387" s="10" t="s">
        <v>517</v>
      </c>
    </row>
    <row r="388" spans="1:6" ht="15" hidden="1">
      <c r="A388" s="120">
        <v>899507261</v>
      </c>
      <c r="B388" s="108" t="str">
        <f>IF(A388&lt;&gt;"", VLOOKUP(A388,'Danh Sách Tổng KH'!$A$1:$B$547,2,0),"")</f>
        <v>Nguyễn Thị Mỹ Ngọc</v>
      </c>
      <c r="C388" s="109" t="str">
        <f t="shared" si="2"/>
        <v>Chưa cho lên đơn</v>
      </c>
      <c r="D388" s="110">
        <v>100000</v>
      </c>
      <c r="E388" s="110" t="s">
        <v>86</v>
      </c>
      <c r="F388" s="10" t="s">
        <v>517</v>
      </c>
    </row>
    <row r="389" spans="1:6" ht="15" hidden="1">
      <c r="A389" s="120">
        <v>932919113</v>
      </c>
      <c r="B389" s="108" t="str">
        <f>IF(A389&lt;&gt;"", VLOOKUP(A389,'Danh Sách Tổng KH'!$A$1:$B$547,2,0),"")</f>
        <v>Nguyễn Minh Chí</v>
      </c>
      <c r="C389" s="109" t="str">
        <f t="shared" si="2"/>
        <v>Chưa cho lên đơn</v>
      </c>
      <c r="D389" s="110">
        <v>160000</v>
      </c>
      <c r="E389" s="110" t="s">
        <v>86</v>
      </c>
    </row>
    <row r="390" spans="1:6" ht="15" hidden="1">
      <c r="A390" s="120">
        <v>939523819</v>
      </c>
      <c r="B390" s="108" t="str">
        <f>IF(A390&lt;&gt;"", VLOOKUP(A390,'Danh Sách Tổng KH'!$A$1:$B$547,2,0),"")</f>
        <v>Lê Tuấn Phương</v>
      </c>
      <c r="C390" s="109" t="str">
        <f t="shared" si="2"/>
        <v>Chưa cho lên đơn</v>
      </c>
      <c r="D390" s="110">
        <v>200000</v>
      </c>
      <c r="E390" s="110" t="s">
        <v>86</v>
      </c>
    </row>
    <row r="391" spans="1:6" ht="15" hidden="1">
      <c r="A391" s="120">
        <v>782818186</v>
      </c>
      <c r="B391" s="108" t="str">
        <f>IF(A391&lt;&gt;"", VLOOKUP(A391,'Danh Sách Tổng KH'!$A$1:$B$547,2,0),"")</f>
        <v>Trần Thị Thuận</v>
      </c>
      <c r="C391" s="109" t="str">
        <f t="shared" si="2"/>
        <v>Chưa cho lên đơn</v>
      </c>
      <c r="D391" s="110">
        <v>150000</v>
      </c>
      <c r="E391" s="110" t="s">
        <v>86</v>
      </c>
    </row>
    <row r="392" spans="1:6" ht="15" hidden="1">
      <c r="A392" s="120">
        <v>909114989</v>
      </c>
      <c r="B392" s="108" t="str">
        <f>IF(A392&lt;&gt;"", VLOOKUP(A392,'Danh Sách Tổng KH'!$A$1:$B$547,2,0),"")</f>
        <v>Trần Thị Thuận</v>
      </c>
      <c r="C392" s="109" t="str">
        <f t="shared" si="2"/>
        <v>Chưa cho lên đơn</v>
      </c>
      <c r="D392" s="110">
        <v>250000</v>
      </c>
      <c r="E392" s="110" t="s">
        <v>86</v>
      </c>
    </row>
    <row r="393" spans="1:6" ht="15" hidden="1">
      <c r="A393" s="120">
        <v>907603189</v>
      </c>
      <c r="B393" s="108" t="str">
        <f>IF(A393&lt;&gt;"", VLOOKUP(A393,'Danh Sách Tổng KH'!$A$1:$B$547,2,0),"")</f>
        <v>Trần Thị Thuận</v>
      </c>
      <c r="C393" s="109" t="str">
        <f t="shared" si="2"/>
        <v>Chưa cho lên đơn</v>
      </c>
      <c r="D393" s="110">
        <v>160000</v>
      </c>
      <c r="E393" s="110" t="s">
        <v>86</v>
      </c>
    </row>
    <row r="394" spans="1:6" ht="15" hidden="1">
      <c r="A394" s="120">
        <v>901074919</v>
      </c>
      <c r="B394" s="108" t="str">
        <f>IF(A394&lt;&gt;"", VLOOKUP(A394,'Danh Sách Tổng KH'!$A$1:$B$547,2,0),"")</f>
        <v>Phan Thị Như Thúy</v>
      </c>
      <c r="C394" s="109" t="str">
        <f t="shared" si="2"/>
        <v>Chưa cho lên đơn</v>
      </c>
      <c r="D394" s="110">
        <v>920000</v>
      </c>
      <c r="E394" s="110"/>
    </row>
    <row r="395" spans="1:6" ht="15" hidden="1">
      <c r="A395" s="120">
        <v>937456721</v>
      </c>
      <c r="B395" s="108" t="str">
        <f>IF(A395&lt;&gt;"", VLOOKUP(A395,'Danh Sách Tổng KH'!$A$1:$B$547,2,0),"")</f>
        <v>Nguyễn Hoàng Nhật</v>
      </c>
      <c r="C395" s="109" t="str">
        <f t="shared" si="2"/>
        <v>Chưa cho lên đơn</v>
      </c>
      <c r="D395" s="110">
        <v>340000</v>
      </c>
      <c r="E395" s="110"/>
    </row>
    <row r="396" spans="1:6" ht="15" hidden="1">
      <c r="A396" s="120">
        <v>977283949</v>
      </c>
      <c r="B396" s="108" t="str">
        <f>IF(A396&lt;&gt;"", VLOOKUP(A396,'Danh Sách Tổng KH'!$A$1:$B$547,2,0),"")</f>
        <v>Trần Thị Mộng Cầm</v>
      </c>
      <c r="C396" s="109" t="str">
        <f t="shared" si="2"/>
        <v>Chưa cho lên đơn</v>
      </c>
      <c r="D396" s="110">
        <v>280000</v>
      </c>
      <c r="E396" s="110"/>
    </row>
    <row r="397" spans="1:6" ht="15" hidden="1">
      <c r="A397" s="120">
        <v>939359580</v>
      </c>
      <c r="B397" s="108" t="str">
        <f>IF(A397&lt;&gt;"", VLOOKUP(A397,'Danh Sách Tổng KH'!$A$1:$B$547,2,0),"")</f>
        <v>Trần Thị Mỹ Cầm</v>
      </c>
      <c r="C397" s="109" t="str">
        <f t="shared" si="2"/>
        <v>Chưa cho lên đơn</v>
      </c>
      <c r="D397" s="110">
        <v>260000</v>
      </c>
      <c r="E397" s="110"/>
    </row>
    <row r="398" spans="1:6" ht="15" hidden="1">
      <c r="A398" s="120">
        <v>907646875</v>
      </c>
      <c r="B398" s="108" t="str">
        <f>IF(A398&lt;&gt;"", VLOOKUP(A398,'Danh Sách Tổng KH'!$A$1:$B$547,2,0),"")</f>
        <v>Nguyễn Thị Đan Thanh</v>
      </c>
      <c r="C398" s="109" t="str">
        <f t="shared" si="2"/>
        <v>Chưa cho lên đơn</v>
      </c>
      <c r="D398" s="110">
        <v>270000</v>
      </c>
      <c r="E398" s="110"/>
    </row>
    <row r="399" spans="1:6" ht="15" hidden="1">
      <c r="A399" s="120">
        <v>777292268</v>
      </c>
      <c r="B399" s="108" t="str">
        <f>IF(A399&lt;&gt;"", VLOOKUP(A399,'Danh Sách Tổng KH'!$A$1:$B$547,2,0),"")</f>
        <v>Nguyễn Thị Đan Thanh</v>
      </c>
      <c r="C399" s="109" t="str">
        <f t="shared" si="2"/>
        <v>Chưa cho lên đơn</v>
      </c>
      <c r="D399" s="110">
        <v>110000</v>
      </c>
      <c r="E399" s="110"/>
    </row>
    <row r="400" spans="1:6" ht="15" hidden="1">
      <c r="A400" s="120">
        <v>939231083</v>
      </c>
      <c r="B400" s="108" t="str">
        <f>IF(A400&lt;&gt;"", VLOOKUP(A400,'Danh Sách Tổng KH'!$A$1:$B$547,2,0),"")</f>
        <v>Quan Phước Thành</v>
      </c>
      <c r="C400" s="109" t="str">
        <f t="shared" si="2"/>
        <v>Chưa cho lên đơn</v>
      </c>
      <c r="D400" s="110">
        <v>160000</v>
      </c>
      <c r="E400" s="110"/>
    </row>
    <row r="401" spans="1:6" ht="15" hidden="1">
      <c r="A401" s="120">
        <v>939068963</v>
      </c>
      <c r="B401" s="108" t="str">
        <f>IF(A401&lt;&gt;"", VLOOKUP(A401,'Danh Sách Tổng KH'!$A$1:$B$547,2,0),"")</f>
        <v>Nguyễn Thị Hồng Cúc bãi cọc cầu tân hữu mới</v>
      </c>
      <c r="C401" s="109" t="str">
        <f t="shared" si="2"/>
        <v>Chưa cho lên đơn</v>
      </c>
      <c r="D401" s="110">
        <v>190000</v>
      </c>
      <c r="E401" s="110"/>
    </row>
    <row r="402" spans="1:6" ht="15" hidden="1">
      <c r="A402" s="120">
        <v>939865286</v>
      </c>
      <c r="B402" s="108" t="str">
        <f>IF(A402&lt;&gt;"", VLOOKUP(A402,'Danh Sách Tổng KH'!$A$1:$B$547,2,0),"")</f>
        <v>Lê Văn Quân hẻm yagami</v>
      </c>
      <c r="C402" s="109" t="str">
        <f t="shared" si="2"/>
        <v>Chưa cho lên đơn</v>
      </c>
      <c r="D402" s="110">
        <v>220000</v>
      </c>
      <c r="E402" s="110"/>
    </row>
    <row r="403" spans="1:6" ht="15" hidden="1">
      <c r="A403" s="120">
        <v>794335363</v>
      </c>
      <c r="B403" s="108" t="str">
        <f>IF(A403&lt;&gt;"", VLOOKUP(A403,'Danh Sách Tổng KH'!$A$1:$B$547,2,0),"")</f>
        <v>Trần Ngô Anh Thư</v>
      </c>
      <c r="C403" s="109" t="str">
        <f t="shared" si="2"/>
        <v>Chưa cho lên đơn</v>
      </c>
      <c r="D403" s="110">
        <v>160000</v>
      </c>
      <c r="E403" s="110"/>
      <c r="F403" s="10" t="s">
        <v>145</v>
      </c>
    </row>
    <row r="404" spans="1:6" ht="15" hidden="1">
      <c r="A404" s="120">
        <v>907965948</v>
      </c>
      <c r="B404" s="108" t="str">
        <f>IF(A404&lt;&gt;"", VLOOKUP(A404,'Danh Sách Tổng KH'!$A$1:$B$547,2,0),"")</f>
        <v>Nguyễn Kim Quang</v>
      </c>
      <c r="C404" s="109" t="str">
        <f t="shared" si="2"/>
        <v>Chưa cho lên đơn</v>
      </c>
      <c r="D404" s="110">
        <v>100000</v>
      </c>
      <c r="E404" s="110" t="s">
        <v>86</v>
      </c>
      <c r="F404" s="110" t="s">
        <v>86</v>
      </c>
    </row>
    <row r="405" spans="1:6" ht="15" hidden="1">
      <c r="A405" s="120">
        <v>932919113</v>
      </c>
      <c r="B405" s="108" t="str">
        <f>IF(A405&lt;&gt;"", VLOOKUP(A405,'Danh Sách Tổng KH'!$A$1:$B$547,2,0),"")</f>
        <v>Nguyễn Minh Chí</v>
      </c>
      <c r="C405" s="109" t="str">
        <f t="shared" si="2"/>
        <v>Chưa cho lên đơn</v>
      </c>
      <c r="D405" s="110">
        <v>150000</v>
      </c>
      <c r="E405" s="110" t="s">
        <v>86</v>
      </c>
      <c r="F405" s="110" t="s">
        <v>86</v>
      </c>
    </row>
    <row r="406" spans="1:6" ht="15" hidden="1">
      <c r="A406" s="120">
        <v>766950258</v>
      </c>
      <c r="B406" s="108" t="str">
        <f>IF(A406&lt;&gt;"", VLOOKUP(A406,'Danh Sách Tổng KH'!$A$1:$B$547,2,0),"")</f>
        <v>Nguyễn Chí Khan</v>
      </c>
      <c r="C406" s="109" t="str">
        <f t="shared" si="2"/>
        <v>Chưa cho lên đơn</v>
      </c>
      <c r="D406" s="110">
        <v>150000</v>
      </c>
      <c r="E406" s="110" t="s">
        <v>86</v>
      </c>
      <c r="F406" s="110" t="s">
        <v>86</v>
      </c>
    </row>
    <row r="407" spans="1:6" ht="15" hidden="1">
      <c r="A407" s="120">
        <v>937456721</v>
      </c>
      <c r="B407" s="108" t="str">
        <f>IF(A407&lt;&gt;"", VLOOKUP(A407,'Danh Sách Tổng KH'!$A$1:$B$547,2,0),"")</f>
        <v>Nguyễn Hoàng Nhật</v>
      </c>
      <c r="C407" s="109" t="str">
        <f t="shared" si="2"/>
        <v>Chưa cho lên đơn</v>
      </c>
      <c r="D407" s="110">
        <v>350000</v>
      </c>
      <c r="E407" s="110" t="s">
        <v>86</v>
      </c>
      <c r="F407" s="110" t="s">
        <v>86</v>
      </c>
    </row>
    <row r="408" spans="1:6" ht="15" hidden="1">
      <c r="A408" s="120">
        <v>907989874</v>
      </c>
      <c r="B408" s="108" t="str">
        <f>IF(A408&lt;&gt;"", VLOOKUP(A408,'Danh Sách Tổng KH'!$A$1:$B$547,2,0),"")</f>
        <v>Lâm Sơn Hiếu</v>
      </c>
      <c r="C408" s="109" t="str">
        <f t="shared" si="2"/>
        <v>Chưa cho lên đơn</v>
      </c>
      <c r="D408" s="110">
        <v>150000</v>
      </c>
      <c r="E408" s="110" t="s">
        <v>86</v>
      </c>
      <c r="F408" s="110" t="s">
        <v>86</v>
      </c>
    </row>
    <row r="409" spans="1:6" ht="15" hidden="1">
      <c r="A409" s="120">
        <v>939523819</v>
      </c>
      <c r="B409" s="108" t="str">
        <f>IF(A409&lt;&gt;"", VLOOKUP(A409,'Danh Sách Tổng KH'!$A$1:$B$547,2,0),"")</f>
        <v>Lê Tuấn Phương</v>
      </c>
      <c r="C409" s="109" t="str">
        <f t="shared" si="2"/>
        <v>Chưa cho lên đơn</v>
      </c>
      <c r="D409" s="110">
        <v>100000</v>
      </c>
      <c r="E409" s="110" t="s">
        <v>86</v>
      </c>
      <c r="F409" s="110" t="s">
        <v>86</v>
      </c>
    </row>
    <row r="410" spans="1:6" ht="15" hidden="1">
      <c r="A410" s="120">
        <v>939033679</v>
      </c>
      <c r="B410" s="108" t="str">
        <f>IF(A410&lt;&gt;"", VLOOKUP(A410,'Danh Sách Tổng KH'!$A$1:$B$547,2,0),"")</f>
        <v>Phạm Võ Dạ Lý</v>
      </c>
      <c r="C410" s="109" t="str">
        <f t="shared" si="2"/>
        <v>Chưa cho lên đơn</v>
      </c>
      <c r="D410" s="110">
        <v>150000</v>
      </c>
      <c r="E410" s="110" t="s">
        <v>86</v>
      </c>
      <c r="F410" s="110" t="s">
        <v>86</v>
      </c>
    </row>
    <row r="411" spans="1:6" ht="15" hidden="1">
      <c r="A411" s="120">
        <v>931108299</v>
      </c>
      <c r="B411" s="108" t="str">
        <f>IF(A411&lt;&gt;"", VLOOKUP(A411,'Danh Sách Tổng KH'!$A$1:$B$547,2,0),"")</f>
        <v>Đặng Thanh Thùy</v>
      </c>
      <c r="C411" s="109" t="str">
        <f t="shared" si="2"/>
        <v>Chưa cho lên đơn</v>
      </c>
      <c r="D411" s="110">
        <v>150000</v>
      </c>
      <c r="E411" s="110" t="s">
        <v>86</v>
      </c>
      <c r="F411" s="110" t="s">
        <v>86</v>
      </c>
    </row>
    <row r="412" spans="1:6" ht="15" hidden="1">
      <c r="A412" s="120">
        <v>977283949</v>
      </c>
      <c r="B412" s="108" t="str">
        <f>IF(A412&lt;&gt;"", VLOOKUP(A412,'Danh Sách Tổng KH'!$A$1:$B$547,2,0),"")</f>
        <v>Trần Thị Mộng Cầm</v>
      </c>
      <c r="C412" s="109" t="str">
        <f t="shared" si="2"/>
        <v>Chưa cho lên đơn</v>
      </c>
      <c r="D412" s="110">
        <v>250000</v>
      </c>
      <c r="E412" s="110" t="s">
        <v>86</v>
      </c>
      <c r="F412" s="110" t="s">
        <v>86</v>
      </c>
    </row>
    <row r="413" spans="1:6" ht="15" hidden="1">
      <c r="A413" s="120">
        <v>939359580</v>
      </c>
      <c r="B413" s="108" t="str">
        <f>IF(A413&lt;&gt;"", VLOOKUP(A413,'Danh Sách Tổng KH'!$A$1:$B$547,2,0),"")</f>
        <v>Trần Thị Mỹ Cầm</v>
      </c>
      <c r="C413" s="109" t="str">
        <f t="shared" si="2"/>
        <v>Chưa cho lên đơn</v>
      </c>
      <c r="D413" s="110">
        <v>350000</v>
      </c>
      <c r="E413" s="110" t="s">
        <v>86</v>
      </c>
      <c r="F413" s="110" t="s">
        <v>86</v>
      </c>
    </row>
    <row r="414" spans="1:6" ht="15" hidden="1">
      <c r="A414" s="120">
        <v>782818186</v>
      </c>
      <c r="B414" s="108" t="str">
        <f>IF(A414&lt;&gt;"", VLOOKUP(A414,'Danh Sách Tổng KH'!$A$1:$B$547,2,0),"")</f>
        <v>Trần Thị Thuận</v>
      </c>
      <c r="C414" s="109" t="str">
        <f t="shared" si="2"/>
        <v>Chưa cho lên đơn</v>
      </c>
      <c r="D414" s="110">
        <v>150000</v>
      </c>
      <c r="E414" s="110" t="s">
        <v>86</v>
      </c>
      <c r="F414" s="110" t="s">
        <v>86</v>
      </c>
    </row>
    <row r="415" spans="1:6" ht="15" hidden="1">
      <c r="A415" s="120">
        <v>909114989</v>
      </c>
      <c r="B415" s="108" t="str">
        <f>IF(A415&lt;&gt;"", VLOOKUP(A415,'Danh Sách Tổng KH'!$A$1:$B$547,2,0),"")</f>
        <v>Trần Thị Thuận</v>
      </c>
      <c r="C415" s="109" t="str">
        <f t="shared" si="2"/>
        <v>Chưa cho lên đơn</v>
      </c>
      <c r="D415" s="110">
        <v>250000</v>
      </c>
      <c r="E415" s="110" t="s">
        <v>86</v>
      </c>
      <c r="F415" s="110" t="s">
        <v>86</v>
      </c>
    </row>
    <row r="416" spans="1:6" ht="15" hidden="1">
      <c r="A416" s="120">
        <v>907603189</v>
      </c>
      <c r="B416" s="108" t="str">
        <f>IF(A416&lt;&gt;"", VLOOKUP(A416,'Danh Sách Tổng KH'!$A$1:$B$547,2,0),"")</f>
        <v>Trần Thị Thuận</v>
      </c>
      <c r="C416" s="109" t="str">
        <f t="shared" si="2"/>
        <v>Chưa cho lên đơn</v>
      </c>
      <c r="D416" s="110">
        <v>150000</v>
      </c>
      <c r="E416" s="110" t="s">
        <v>86</v>
      </c>
      <c r="F416" s="110" t="s">
        <v>86</v>
      </c>
    </row>
    <row r="417" spans="1:6" ht="15" hidden="1">
      <c r="A417" s="120">
        <v>939231083</v>
      </c>
      <c r="B417" s="108" t="str">
        <f>IF(A417&lt;&gt;"", VLOOKUP(A417,'Danh Sách Tổng KH'!$A$1:$B$547,2,0),"")</f>
        <v>Quan Phước Thành</v>
      </c>
      <c r="C417" s="109" t="str">
        <f t="shared" si="2"/>
        <v>Chưa cho lên đơn</v>
      </c>
      <c r="D417" s="110">
        <v>150000</v>
      </c>
      <c r="E417" s="110" t="s">
        <v>86</v>
      </c>
      <c r="F417" s="110" t="s">
        <v>86</v>
      </c>
    </row>
    <row r="418" spans="1:6" ht="15" hidden="1">
      <c r="A418" s="120">
        <v>907646875</v>
      </c>
      <c r="B418" s="108" t="str">
        <f>IF(A418&lt;&gt;"", VLOOKUP(A418,'Danh Sách Tổng KH'!$A$1:$B$547,2,0),"")</f>
        <v>Nguyễn Thị Đan Thanh</v>
      </c>
      <c r="C418" s="109" t="str">
        <f t="shared" si="2"/>
        <v>Chưa cho lên đơn</v>
      </c>
      <c r="D418" s="110">
        <v>250000</v>
      </c>
      <c r="E418" s="110" t="s">
        <v>86</v>
      </c>
      <c r="F418" s="110" t="s">
        <v>86</v>
      </c>
    </row>
    <row r="419" spans="1:6" ht="15" hidden="1">
      <c r="A419" s="120">
        <v>777292268</v>
      </c>
      <c r="B419" s="108" t="str">
        <f>IF(A419&lt;&gt;"", VLOOKUP(A419,'Danh Sách Tổng KH'!$A$1:$B$547,2,0),"")</f>
        <v>Nguyễn Thị Đan Thanh</v>
      </c>
      <c r="C419" s="109" t="str">
        <f t="shared" si="2"/>
        <v>Chưa cho lên đơn</v>
      </c>
      <c r="D419" s="110">
        <v>100000</v>
      </c>
      <c r="E419" s="110" t="s">
        <v>86</v>
      </c>
      <c r="F419" s="110" t="s">
        <v>86</v>
      </c>
    </row>
    <row r="420" spans="1:6" ht="15" hidden="1">
      <c r="A420" s="120">
        <v>794335363</v>
      </c>
      <c r="B420" s="108" t="str">
        <f>IF(A420&lt;&gt;"", VLOOKUP(A420,'Danh Sách Tổng KH'!$A$1:$B$547,2,0),"")</f>
        <v>Trần Ngô Anh Thư</v>
      </c>
      <c r="C420" s="109" t="str">
        <f t="shared" si="2"/>
        <v>Chưa cho lên đơn</v>
      </c>
      <c r="D420" s="110">
        <v>150000</v>
      </c>
      <c r="E420" s="110" t="s">
        <v>86</v>
      </c>
      <c r="F420" s="110" t="s">
        <v>86</v>
      </c>
    </row>
    <row r="421" spans="1:6" ht="15" hidden="1">
      <c r="A421" s="120">
        <v>939193297</v>
      </c>
      <c r="B421" s="108" t="str">
        <f>IF(A421&lt;&gt;"", VLOOKUP(A421,'Danh Sách Tổng KH'!$A$1:$B$547,2,0),"")</f>
        <v>Nguyễn Hồng Diệu</v>
      </c>
      <c r="C421" s="109" t="str">
        <f t="shared" si="2"/>
        <v>Chưa cho lên đơn</v>
      </c>
      <c r="D421" s="110">
        <v>100000</v>
      </c>
      <c r="E421" s="110"/>
      <c r="F421" s="110"/>
    </row>
    <row r="422" spans="1:6" ht="15" hidden="1">
      <c r="A422" s="120">
        <v>899507261</v>
      </c>
      <c r="B422" s="108" t="str">
        <f>IF(A422&lt;&gt;"", VLOOKUP(A422,'Danh Sách Tổng KH'!$A$1:$B$547,2,0),"")</f>
        <v>Nguyễn Thị Mỹ Ngọc</v>
      </c>
      <c r="C422" s="109" t="str">
        <f t="shared" si="2"/>
        <v>Chưa cho lên đơn</v>
      </c>
      <c r="D422" s="110">
        <v>250000</v>
      </c>
      <c r="E422" s="110"/>
      <c r="F422" s="110"/>
    </row>
    <row r="423" spans="1:6" ht="15" hidden="1">
      <c r="A423" s="120">
        <v>788812344</v>
      </c>
      <c r="B423" s="108" t="str">
        <f>IF(A423&lt;&gt;"", VLOOKUP(A423,'Danh Sách Tổng KH'!$A$1:$B$547,2,0),"")</f>
        <v>Đặng Ngọc Quang Danh</v>
      </c>
      <c r="C423" s="109" t="str">
        <f t="shared" si="2"/>
        <v>Chưa cho lên đơn</v>
      </c>
      <c r="D423" s="110">
        <v>100000</v>
      </c>
      <c r="E423" s="110"/>
      <c r="F423" s="110"/>
    </row>
    <row r="424" spans="1:6" ht="15" hidden="1">
      <c r="A424" s="120">
        <v>931108299</v>
      </c>
      <c r="B424" s="108" t="str">
        <f>IF(A424&lt;&gt;"", VLOOKUP(A424,'Danh Sách Tổng KH'!$A$1:$B$547,2,0),"")</f>
        <v>Đặng Thanh Thùy</v>
      </c>
      <c r="C424" s="109" t="str">
        <f t="shared" si="2"/>
        <v>Chưa cho lên đơn</v>
      </c>
      <c r="D424" s="110">
        <v>500000</v>
      </c>
      <c r="E424" s="110"/>
      <c r="F424" s="110" t="s">
        <v>518</v>
      </c>
    </row>
    <row r="425" spans="1:6" ht="15" hidden="1">
      <c r="A425" s="120">
        <v>903029449</v>
      </c>
      <c r="B425" s="108" t="str">
        <f>IF(A425&lt;&gt;"", VLOOKUP(A425,'Danh Sách Tổng KH'!$A$1:$B$547,2,0),"")</f>
        <v>Nguyễn Vũ Thanh Sơn</v>
      </c>
      <c r="C425" s="109" t="str">
        <f t="shared" si="2"/>
        <v>Chưa cho lên đơn</v>
      </c>
      <c r="D425" s="110">
        <v>2150000</v>
      </c>
      <c r="E425" s="110" t="s">
        <v>86</v>
      </c>
      <c r="F425" s="110" t="s">
        <v>86</v>
      </c>
    </row>
    <row r="426" spans="1:6" ht="15" hidden="1">
      <c r="A426" s="120">
        <v>907646875</v>
      </c>
      <c r="B426" s="108" t="str">
        <f>IF(A426&lt;&gt;"", VLOOKUP(A426,'Danh Sách Tổng KH'!$A$1:$B$547,2,0),"")</f>
        <v>Nguyễn Thị Đan Thanh</v>
      </c>
      <c r="C426" s="109" t="str">
        <f t="shared" si="2"/>
        <v>Chưa cho lên đơn</v>
      </c>
      <c r="D426" s="110">
        <v>250000</v>
      </c>
      <c r="E426" s="110" t="s">
        <v>86</v>
      </c>
      <c r="F426" s="110" t="s">
        <v>86</v>
      </c>
    </row>
    <row r="427" spans="1:6" ht="15" hidden="1">
      <c r="A427" s="120">
        <v>777292268</v>
      </c>
      <c r="B427" s="108" t="str">
        <f>IF(A427&lt;&gt;"", VLOOKUP(A427,'Danh Sách Tổng KH'!$A$1:$B$547,2,0),"")</f>
        <v>Nguyễn Thị Đan Thanh</v>
      </c>
      <c r="C427" s="109" t="str">
        <f t="shared" si="2"/>
        <v>Chưa cho lên đơn</v>
      </c>
      <c r="D427" s="110">
        <v>100000</v>
      </c>
      <c r="E427" s="110" t="s">
        <v>86</v>
      </c>
      <c r="F427" s="110" t="s">
        <v>86</v>
      </c>
    </row>
    <row r="428" spans="1:6" ht="15" hidden="1">
      <c r="A428" s="120">
        <v>794335363</v>
      </c>
      <c r="B428" s="108" t="str">
        <f>IF(A428&lt;&gt;"", VLOOKUP(A428,'Danh Sách Tổng KH'!$A$1:$B$547,2,0),"")</f>
        <v>Trần Ngô Anh Thư</v>
      </c>
      <c r="C428" s="109" t="str">
        <f t="shared" si="2"/>
        <v>Chưa cho lên đơn</v>
      </c>
      <c r="D428" s="110">
        <v>150000</v>
      </c>
      <c r="E428" s="110" t="s">
        <v>86</v>
      </c>
      <c r="F428" s="110" t="s">
        <v>86</v>
      </c>
    </row>
    <row r="429" spans="1:6" ht="15" hidden="1">
      <c r="A429" s="120">
        <v>937456721</v>
      </c>
      <c r="B429" s="108" t="str">
        <f>IF(A429&lt;&gt;"", VLOOKUP(A429,'Danh Sách Tổng KH'!$A$1:$B$547,2,0),"")</f>
        <v>Nguyễn Hoàng Nhật</v>
      </c>
      <c r="C429" s="109" t="str">
        <f t="shared" si="2"/>
        <v>Chưa cho lên đơn</v>
      </c>
      <c r="D429" s="110">
        <v>300000</v>
      </c>
      <c r="E429" s="110"/>
      <c r="F429" s="110"/>
    </row>
    <row r="430" spans="1:6" ht="15" hidden="1">
      <c r="A430" s="120">
        <v>977283949</v>
      </c>
      <c r="B430" s="108" t="str">
        <f>IF(A430&lt;&gt;"", VLOOKUP(A430,'Danh Sách Tổng KH'!$A$1:$B$547,2,0),"")</f>
        <v>Trần Thị Mộng Cầm</v>
      </c>
      <c r="C430" s="109" t="str">
        <f t="shared" si="2"/>
        <v>Chưa cho lên đơn</v>
      </c>
      <c r="D430" s="110">
        <v>250000</v>
      </c>
      <c r="E430" s="110"/>
      <c r="F430" s="110"/>
    </row>
    <row r="431" spans="1:6" ht="15" hidden="1">
      <c r="A431" s="120">
        <v>939359580</v>
      </c>
      <c r="B431" s="108" t="str">
        <f>IF(A431&lt;&gt;"", VLOOKUP(A431,'Danh Sách Tổng KH'!$A$1:$B$547,2,0),"")</f>
        <v>Trần Thị Mỹ Cầm</v>
      </c>
      <c r="C431" s="109" t="str">
        <f t="shared" si="2"/>
        <v>Chưa cho lên đơn</v>
      </c>
      <c r="D431" s="110">
        <v>250000</v>
      </c>
      <c r="E431" s="110"/>
      <c r="F431" s="110"/>
    </row>
    <row r="432" spans="1:6" ht="15" hidden="1">
      <c r="A432" s="120">
        <v>782818186</v>
      </c>
      <c r="B432" s="108" t="str">
        <f>IF(A432&lt;&gt;"", VLOOKUP(A432,'Danh Sách Tổng KH'!$A$1:$B$547,2,0),"")</f>
        <v>Trần Thị Thuận</v>
      </c>
      <c r="C432" s="109" t="str">
        <f t="shared" si="2"/>
        <v>Chưa cho lên đơn</v>
      </c>
      <c r="D432" s="110">
        <v>150000</v>
      </c>
      <c r="E432" s="110"/>
      <c r="F432" s="110"/>
    </row>
    <row r="433" spans="1:6" ht="15" hidden="1">
      <c r="A433" s="120">
        <v>909114989</v>
      </c>
      <c r="B433" s="108" t="str">
        <f>IF(A433&lt;&gt;"", VLOOKUP(A433,'Danh Sách Tổng KH'!$A$1:$B$547,2,0),"")</f>
        <v>Trần Thị Thuận</v>
      </c>
      <c r="C433" s="109" t="str">
        <f t="shared" si="2"/>
        <v>Chưa cho lên đơn</v>
      </c>
      <c r="D433" s="110">
        <v>250000</v>
      </c>
      <c r="E433" s="110"/>
      <c r="F433" s="110"/>
    </row>
    <row r="434" spans="1:6" ht="15" hidden="1">
      <c r="A434" s="120">
        <v>907603189</v>
      </c>
      <c r="B434" s="108" t="str">
        <f>IF(A434&lt;&gt;"", VLOOKUP(A434,'Danh Sách Tổng KH'!$A$1:$B$547,2,0),"")</f>
        <v>Trần Thị Thuận</v>
      </c>
      <c r="C434" s="109" t="str">
        <f t="shared" si="2"/>
        <v>Chưa cho lên đơn</v>
      </c>
      <c r="D434" s="110">
        <v>150000</v>
      </c>
      <c r="E434" s="110"/>
      <c r="F434" s="110"/>
    </row>
    <row r="435" spans="1:6" ht="15" hidden="1">
      <c r="A435" s="120">
        <v>939231083</v>
      </c>
      <c r="B435" s="108" t="str">
        <f>IF(A435&lt;&gt;"", VLOOKUP(A435,'Danh Sách Tổng KH'!$A$1:$B$547,2,0),"")</f>
        <v>Quan Phước Thành</v>
      </c>
      <c r="C435" s="109" t="str">
        <f t="shared" si="2"/>
        <v>Chưa cho lên đơn</v>
      </c>
      <c r="D435" s="110">
        <v>150000</v>
      </c>
      <c r="E435" s="110"/>
      <c r="F435" s="110"/>
    </row>
    <row r="436" spans="1:6" ht="15" hidden="1">
      <c r="A436" s="120">
        <v>907989874</v>
      </c>
      <c r="B436" s="108" t="str">
        <f>IF(A436&lt;&gt;"", VLOOKUP(A436,'Danh Sách Tổng KH'!$A$1:$B$547,2,0),"")</f>
        <v>Lâm Sơn Hiếu</v>
      </c>
      <c r="C436" s="109" t="str">
        <f t="shared" si="2"/>
        <v>Chưa cho lên đơn</v>
      </c>
      <c r="D436" s="110">
        <v>150000</v>
      </c>
      <c r="E436" s="110"/>
      <c r="F436" s="110"/>
    </row>
    <row r="437" spans="1:6" ht="15" hidden="1">
      <c r="A437" s="120">
        <v>939523819</v>
      </c>
      <c r="B437" s="108" t="str">
        <f>IF(A437&lt;&gt;"", VLOOKUP(A437,'Danh Sách Tổng KH'!$A$1:$B$547,2,0),"")</f>
        <v>Lê Tuấn Phương</v>
      </c>
      <c r="C437" s="109" t="str">
        <f t="shared" ref="C437:C505" si="3">IF(B437&lt;&gt;"","Chưa cho lên đơn","")</f>
        <v>Chưa cho lên đơn</v>
      </c>
      <c r="D437" s="110">
        <v>100000</v>
      </c>
      <c r="E437" s="110"/>
      <c r="F437" s="110"/>
    </row>
    <row r="438" spans="1:6" ht="15" hidden="1">
      <c r="A438" s="120">
        <v>899167869</v>
      </c>
      <c r="B438" s="108" t="str">
        <f>IF(A438&lt;&gt;"", VLOOKUP(A438,'Danh Sách Tổng KH'!$A$1:$B$547,2,0),"")</f>
        <v>Đặng Thị Minh Giang</v>
      </c>
      <c r="C438" s="109" t="str">
        <f t="shared" si="3"/>
        <v>Chưa cho lên đơn</v>
      </c>
      <c r="D438" s="110">
        <v>150000</v>
      </c>
      <c r="E438" s="110" t="s">
        <v>86</v>
      </c>
      <c r="F438" s="110" t="s">
        <v>86</v>
      </c>
    </row>
    <row r="439" spans="1:6" ht="15" hidden="1">
      <c r="A439" s="120">
        <v>939892768</v>
      </c>
      <c r="B439" s="108" t="str">
        <f>IF(A439&lt;&gt;"", VLOOKUP(A439,'Danh Sách Tổng KH'!$A$1:$B$547,2,0),"")</f>
        <v>Trương Tuấn Thành</v>
      </c>
      <c r="C439" s="109" t="str">
        <f t="shared" si="3"/>
        <v>Chưa cho lên đơn</v>
      </c>
      <c r="D439" s="110">
        <v>150000</v>
      </c>
      <c r="E439" s="110"/>
      <c r="F439" s="110"/>
    </row>
    <row r="440" spans="1:6" ht="15" hidden="1">
      <c r="A440" s="120">
        <v>766802003</v>
      </c>
      <c r="B440" s="108" t="str">
        <f>IF(A440&lt;&gt;"", VLOOKUP(A440,'Danh Sách Tổng KH'!$A$1:$B$547,2,0),"")</f>
        <v>Huỳnh Thị Mỹ Quyên heo quay phu duc</v>
      </c>
      <c r="C440" s="109" t="str">
        <f t="shared" si="3"/>
        <v>Chưa cho lên đơn</v>
      </c>
      <c r="D440" s="110">
        <v>150000</v>
      </c>
      <c r="E440" s="110"/>
      <c r="F440" s="110"/>
    </row>
    <row r="441" spans="1:6" ht="15" hidden="1">
      <c r="A441" s="120">
        <v>932919113</v>
      </c>
      <c r="B441" s="108" t="str">
        <f>IF(A441&lt;&gt;"", VLOOKUP(A441,'Danh Sách Tổng KH'!$A$1:$B$547,2,0),"")</f>
        <v>Nguyễn Minh Chí</v>
      </c>
      <c r="C441" s="109" t="str">
        <f t="shared" si="3"/>
        <v>Chưa cho lên đơn</v>
      </c>
      <c r="D441" s="110">
        <v>600000</v>
      </c>
      <c r="E441" s="110" t="s">
        <v>86</v>
      </c>
      <c r="F441" s="110" t="s">
        <v>86</v>
      </c>
    </row>
    <row r="442" spans="1:6" ht="15" hidden="1">
      <c r="A442" s="120">
        <v>763848979</v>
      </c>
      <c r="B442" s="108" t="str">
        <f>IF(A442&lt;&gt;"", VLOOKUP(A442,'Danh Sách Tổng KH'!$A$1:$B$547,2,0),"")</f>
        <v>Trần Minh Hoàng nhà may âu bà loan</v>
      </c>
      <c r="C442" s="109" t="str">
        <f t="shared" si="3"/>
        <v>Chưa cho lên đơn</v>
      </c>
      <c r="D442" s="110">
        <v>150000</v>
      </c>
      <c r="E442" s="110" t="s">
        <v>86</v>
      </c>
      <c r="F442" s="110" t="s">
        <v>86</v>
      </c>
    </row>
    <row r="443" spans="1:6" ht="15" hidden="1">
      <c r="A443" s="120">
        <v>901076758</v>
      </c>
      <c r="B443" s="108" t="str">
        <f>IF(A443&lt;&gt;"", VLOOKUP(A443,'Danh Sách Tổng KH'!$A$1:$B$547,2,0),"")</f>
        <v>Nguyễn Văn Minh</v>
      </c>
      <c r="C443" s="109" t="str">
        <f t="shared" si="3"/>
        <v>Chưa cho lên đơn</v>
      </c>
      <c r="D443" s="110">
        <v>100000</v>
      </c>
      <c r="E443" s="110" t="s">
        <v>86</v>
      </c>
      <c r="F443" s="110" t="s">
        <v>86</v>
      </c>
    </row>
    <row r="444" spans="1:6" ht="15" hidden="1">
      <c r="A444" s="120">
        <v>932919113</v>
      </c>
      <c r="B444" s="108" t="str">
        <f>IF(A444&lt;&gt;"", VLOOKUP(A444,'Danh Sách Tổng KH'!$A$1:$B$547,2,0),"")</f>
        <v>Nguyễn Minh Chí</v>
      </c>
      <c r="C444" s="109" t="str">
        <f t="shared" si="3"/>
        <v>Chưa cho lên đơn</v>
      </c>
      <c r="D444" s="110">
        <v>600000</v>
      </c>
      <c r="E444" s="110"/>
      <c r="F444" s="110"/>
    </row>
    <row r="445" spans="1:6" ht="15" hidden="1">
      <c r="A445" s="120">
        <v>797772929</v>
      </c>
      <c r="B445" s="108" t="str">
        <f>IF(A445&lt;&gt;"", VLOOKUP(A445,'Danh Sách Tổng KH'!$A$1:$B$547,2,0),"")</f>
        <v>Huỳnh Đặng Văn Minh</v>
      </c>
      <c r="C445" s="109" t="str">
        <f t="shared" si="3"/>
        <v>Chưa cho lên đơn</v>
      </c>
      <c r="D445" s="110">
        <v>200000</v>
      </c>
      <c r="E445" s="110" t="s">
        <v>86</v>
      </c>
      <c r="F445" s="110" t="s">
        <v>86</v>
      </c>
    </row>
    <row r="446" spans="1:6" ht="15" hidden="1">
      <c r="A446" s="120">
        <v>794335363</v>
      </c>
      <c r="B446" s="108" t="str">
        <f>IF(A446&lt;&gt;"", VLOOKUP(A446,'Danh Sách Tổng KH'!$A$1:$B$547,2,0),"")</f>
        <v>Trần Ngô Anh Thư</v>
      </c>
      <c r="C446" s="109" t="str">
        <f t="shared" si="3"/>
        <v>Chưa cho lên đơn</v>
      </c>
      <c r="D446" s="110">
        <v>150000</v>
      </c>
      <c r="E446" s="110" t="s">
        <v>86</v>
      </c>
      <c r="F446" s="110" t="s">
        <v>86</v>
      </c>
    </row>
    <row r="447" spans="1:6" ht="15" hidden="1">
      <c r="A447" s="120">
        <v>907916791</v>
      </c>
      <c r="B447" s="108" t="str">
        <f>IF(A447&lt;&gt;"", VLOOKUP(A447,'Danh Sách Tổng KH'!$A$1:$B$547,2,0),"")</f>
        <v>Nguyễn Hoài Linh</v>
      </c>
      <c r="C447" s="109" t="str">
        <f t="shared" si="3"/>
        <v>Chưa cho lên đơn</v>
      </c>
      <c r="D447" s="110">
        <v>150000</v>
      </c>
      <c r="E447" s="110" t="s">
        <v>86</v>
      </c>
      <c r="F447" s="110" t="s">
        <v>86</v>
      </c>
    </row>
    <row r="448" spans="1:6" ht="15" hidden="1">
      <c r="A448" s="120">
        <v>766884366</v>
      </c>
      <c r="B448" s="108" t="str">
        <f>IF(A448&lt;&gt;"", VLOOKUP(A448,'Danh Sách Tổng KH'!$A$1:$B$547,2,0),"")</f>
        <v>Võ Thành Sơn</v>
      </c>
      <c r="C448" s="109" t="str">
        <f t="shared" si="3"/>
        <v>Chưa cho lên đơn</v>
      </c>
      <c r="D448" s="110">
        <v>100000</v>
      </c>
      <c r="E448" s="110" t="s">
        <v>86</v>
      </c>
      <c r="F448" s="110" t="s">
        <v>86</v>
      </c>
    </row>
    <row r="449" spans="1:6" ht="15" hidden="1">
      <c r="A449" s="120">
        <v>782844366</v>
      </c>
      <c r="B449" s="108" t="str">
        <f>IF(A449&lt;&gt;"", VLOOKUP(A449,'Danh Sách Tổng KH'!$A$1:$B$547,2,0),"")</f>
        <v>Võ Thành Sơn</v>
      </c>
      <c r="C449" s="109" t="str">
        <f t="shared" si="3"/>
        <v>Chưa cho lên đơn</v>
      </c>
      <c r="D449" s="110">
        <v>100000</v>
      </c>
      <c r="E449" s="110" t="s">
        <v>86</v>
      </c>
      <c r="F449" s="110" t="s">
        <v>86</v>
      </c>
    </row>
    <row r="450" spans="1:6" ht="15" hidden="1">
      <c r="A450" s="120">
        <v>939969498</v>
      </c>
      <c r="B450" s="108" t="str">
        <f>IF(A450&lt;&gt;"", VLOOKUP(A450,'Danh Sách Tổng KH'!$A$1:$B$547,2,0),"")</f>
        <v>HỘ KINH DOANH RIO</v>
      </c>
      <c r="C450" s="109" t="str">
        <f t="shared" si="3"/>
        <v>Chưa cho lên đơn</v>
      </c>
      <c r="D450" s="110">
        <v>250000</v>
      </c>
      <c r="E450" s="110" t="s">
        <v>86</v>
      </c>
      <c r="F450" s="110" t="s">
        <v>86</v>
      </c>
    </row>
    <row r="451" spans="1:6" ht="15" hidden="1">
      <c r="A451" s="120">
        <v>797772929</v>
      </c>
      <c r="B451" s="108" t="str">
        <f>IF(A451&lt;&gt;"", VLOOKUP(A451,'Danh Sách Tổng KH'!$A$1:$B$547,2,0),"")</f>
        <v>Huỳnh Đặng Văn Minh</v>
      </c>
      <c r="C451" s="109" t="str">
        <f t="shared" si="3"/>
        <v>Chưa cho lên đơn</v>
      </c>
      <c r="D451" s="110">
        <v>150000</v>
      </c>
      <c r="E451" s="110"/>
      <c r="F451" s="110"/>
    </row>
    <row r="452" spans="1:6" ht="15" hidden="1">
      <c r="A452" s="120">
        <v>934293092</v>
      </c>
      <c r="B452" s="108" t="str">
        <f>IF(A452&lt;&gt;"", VLOOKUP(A452,'Danh Sách Tổng KH'!$A$1:$B$547,2,0),"")</f>
        <v>Nguyễn Thị Mỹ Phượng</v>
      </c>
      <c r="C452" s="109" t="str">
        <f t="shared" si="3"/>
        <v>Chưa cho lên đơn</v>
      </c>
      <c r="D452" s="110">
        <v>100000</v>
      </c>
      <c r="E452" s="110"/>
      <c r="F452" s="110"/>
    </row>
    <row r="453" spans="1:6" ht="15" hidden="1">
      <c r="A453" s="120">
        <v>901074919</v>
      </c>
      <c r="B453" s="108" t="str">
        <f>IF(A453&lt;&gt;"", VLOOKUP(A453,'Danh Sách Tổng KH'!$A$1:$B$547,2,0),"")</f>
        <v>Phan Thị Như Thúy</v>
      </c>
      <c r="C453" s="109" t="str">
        <f t="shared" si="3"/>
        <v>Chưa cho lên đơn</v>
      </c>
      <c r="D453" s="110">
        <v>50000</v>
      </c>
      <c r="E453" s="110" t="s">
        <v>86</v>
      </c>
      <c r="F453" s="110"/>
    </row>
    <row r="454" spans="1:6" ht="15" hidden="1">
      <c r="A454" s="120">
        <v>908456566</v>
      </c>
      <c r="B454" s="108" t="str">
        <f>IF(A454&lt;&gt;"", VLOOKUP(A454,'Danh Sách Tổng KH'!$A$1:$B$547,2,0),"")</f>
        <v>Phạm Thanh Việt</v>
      </c>
      <c r="C454" s="109" t="str">
        <f t="shared" si="3"/>
        <v>Chưa cho lên đơn</v>
      </c>
      <c r="D454" s="110">
        <v>50000</v>
      </c>
      <c r="E454" s="110" t="s">
        <v>86</v>
      </c>
      <c r="F454" s="110"/>
    </row>
    <row r="455" spans="1:6" ht="16.5" hidden="1" customHeight="1">
      <c r="A455" s="120">
        <v>903026739</v>
      </c>
      <c r="B455" s="108" t="str">
        <f>IF(A455&lt;&gt;"", VLOOKUP(A455,'Danh Sách Tổng KH'!$A$1:$B$547,2,0),"")</f>
        <v>Phạm Thanh Việt</v>
      </c>
      <c r="C455" s="109" t="str">
        <f t="shared" si="3"/>
        <v>Chưa cho lên đơn</v>
      </c>
      <c r="D455" s="110">
        <v>50000</v>
      </c>
      <c r="E455" s="110" t="s">
        <v>86</v>
      </c>
      <c r="F455" s="110"/>
    </row>
    <row r="456" spans="1:6" ht="15" hidden="1">
      <c r="A456" s="120">
        <v>904980405</v>
      </c>
      <c r="B456" s="108" t="str">
        <f>IF(A456&lt;&gt;"", VLOOKUP(A456,'Danh Sách Tổng KH'!$A$1:$B$547,2,0),"")</f>
        <v>Nguyễn Thanh Phượng</v>
      </c>
      <c r="C456" s="109" t="str">
        <f t="shared" si="3"/>
        <v>Chưa cho lên đơn</v>
      </c>
      <c r="D456" s="110">
        <v>350000</v>
      </c>
      <c r="E456" s="110" t="s">
        <v>86</v>
      </c>
      <c r="F456" s="110"/>
    </row>
    <row r="457" spans="1:6" ht="15" hidden="1">
      <c r="A457" s="120">
        <v>907602719</v>
      </c>
      <c r="B457" s="108" t="str">
        <f>IF(A457&lt;&gt;"", VLOOKUP(A457,'Danh Sách Tổng KH'!$A$1:$B$547,2,0),"")</f>
        <v>Nguyễn Thị Thùy Loan</v>
      </c>
      <c r="C457" s="109" t="str">
        <f t="shared" si="3"/>
        <v>Chưa cho lên đơn</v>
      </c>
      <c r="D457" s="110">
        <v>300000</v>
      </c>
      <c r="E457" s="110" t="s">
        <v>86</v>
      </c>
      <c r="F457" s="110"/>
    </row>
    <row r="458" spans="1:6" ht="15" hidden="1">
      <c r="A458" s="120">
        <v>907703739</v>
      </c>
      <c r="B458" s="108" t="str">
        <f>IF(A458&lt;&gt;"", VLOOKUP(A458,'Danh Sách Tổng KH'!$A$1:$B$547,2,0),"")</f>
        <v>Lê Thị Hồng Sang</v>
      </c>
      <c r="C458" s="109" t="str">
        <f t="shared" si="3"/>
        <v>Chưa cho lên đơn</v>
      </c>
      <c r="D458" s="110">
        <v>150000</v>
      </c>
      <c r="E458" s="110" t="s">
        <v>86</v>
      </c>
      <c r="F458" s="130"/>
    </row>
    <row r="459" spans="1:6" ht="15" hidden="1">
      <c r="A459" s="120">
        <v>977283949</v>
      </c>
      <c r="B459" s="108" t="str">
        <f>IF(A459&lt;&gt;"", VLOOKUP(A459,'Danh Sách Tổng KH'!$A$1:$B$547,2,0),"")</f>
        <v>Trần Thị Mộng Cầm</v>
      </c>
      <c r="C459" s="109" t="str">
        <f t="shared" si="3"/>
        <v>Chưa cho lên đơn</v>
      </c>
      <c r="D459" s="110">
        <v>300000</v>
      </c>
      <c r="E459" s="110" t="s">
        <v>86</v>
      </c>
      <c r="F459" s="130"/>
    </row>
    <row r="460" spans="1:6" ht="15" hidden="1">
      <c r="A460" s="120">
        <v>939359580</v>
      </c>
      <c r="B460" s="108" t="str">
        <f>IF(A460&lt;&gt;"", VLOOKUP(A460,'Danh Sách Tổng KH'!$A$1:$B$547,2,0),"")</f>
        <v>Trần Thị Mỹ Cầm</v>
      </c>
      <c r="C460" s="109" t="str">
        <f t="shared" si="3"/>
        <v>Chưa cho lên đơn</v>
      </c>
      <c r="D460" s="110">
        <v>150000</v>
      </c>
      <c r="E460" s="110" t="s">
        <v>86</v>
      </c>
      <c r="F460" s="130"/>
    </row>
    <row r="461" spans="1:6" ht="15" hidden="1">
      <c r="A461" s="120">
        <v>764135135</v>
      </c>
      <c r="B461" s="108" t="str">
        <f>IF(A461&lt;&gt;"", VLOOKUP(A461,'Danh Sách Tổng KH'!$A$1:$B$547,2,0),"")</f>
        <v>Nguyễn Nhật Quang</v>
      </c>
      <c r="C461" s="109" t="str">
        <f t="shared" si="3"/>
        <v>Chưa cho lên đơn</v>
      </c>
      <c r="D461" s="110">
        <v>50000</v>
      </c>
      <c r="E461" s="110" t="s">
        <v>86</v>
      </c>
      <c r="F461" s="110"/>
    </row>
    <row r="462" spans="1:6" ht="15" hidden="1">
      <c r="A462" s="120">
        <v>788293949</v>
      </c>
      <c r="B462" s="108" t="str">
        <f>IF(A462&lt;&gt;"", VLOOKUP(A462,'Danh Sách Tổng KH'!$A$1:$B$547,2,0),"")</f>
        <v>Nguyễn Nhật Quang</v>
      </c>
      <c r="C462" s="109" t="str">
        <f t="shared" si="3"/>
        <v>Chưa cho lên đơn</v>
      </c>
      <c r="D462" s="110">
        <v>50000</v>
      </c>
      <c r="E462" s="110" t="s">
        <v>86</v>
      </c>
      <c r="F462" s="110"/>
    </row>
    <row r="463" spans="1:6" ht="15" hidden="1">
      <c r="A463" s="120">
        <v>787394959</v>
      </c>
      <c r="B463" s="108" t="str">
        <f>IF(A463&lt;&gt;"", VLOOKUP(A463,'Danh Sách Tổng KH'!$A$1:$B$547,2,0),"")</f>
        <v>Nguyễn Nhật Quang</v>
      </c>
      <c r="C463" s="109" t="str">
        <f t="shared" si="3"/>
        <v>Chưa cho lên đơn</v>
      </c>
      <c r="D463" s="110">
        <v>50000</v>
      </c>
      <c r="E463" s="110" t="s">
        <v>86</v>
      </c>
      <c r="F463" s="110"/>
    </row>
    <row r="464" spans="1:6" ht="15" hidden="1">
      <c r="A464" s="120">
        <v>932959353</v>
      </c>
      <c r="B464" s="108" t="str">
        <f>IF(A464&lt;&gt;"", VLOOKUP(A464,'Danh Sách Tổng KH'!$A$1:$B$547,2,0),"")</f>
        <v>Lê Thanh Điền</v>
      </c>
      <c r="C464" s="109" t="str">
        <f t="shared" si="3"/>
        <v>Chưa cho lên đơn</v>
      </c>
      <c r="D464" s="110">
        <v>300000</v>
      </c>
      <c r="E464" s="110" t="s">
        <v>86</v>
      </c>
      <c r="F464" s="110" t="s">
        <v>86</v>
      </c>
    </row>
    <row r="465" spans="1:7" ht="15" hidden="1">
      <c r="A465" s="120">
        <v>939033679</v>
      </c>
      <c r="B465" s="108" t="str">
        <f>IF(A465&lt;&gt;"", VLOOKUP(A465,'Danh Sách Tổng KH'!$A$1:$B$547,2,0),"")</f>
        <v>Phạm Võ Dạ Lý</v>
      </c>
      <c r="C465" s="109" t="str">
        <f t="shared" si="3"/>
        <v>Chưa cho lên đơn</v>
      </c>
      <c r="D465" s="110">
        <v>200000</v>
      </c>
      <c r="E465" s="110" t="s">
        <v>86</v>
      </c>
      <c r="F465" s="110" t="s">
        <v>86</v>
      </c>
    </row>
    <row r="466" spans="1:7" ht="19.5" hidden="1">
      <c r="A466" s="131">
        <v>939696834</v>
      </c>
      <c r="B466" s="108" t="str">
        <f>IF(A466&lt;&gt;"", VLOOKUP(A466,'Danh Sách Tổng KH'!$A$1:$B$547,2,0),"")</f>
        <v>Nguyễn Thị Mộng Ngọc</v>
      </c>
      <c r="C466" s="109" t="str">
        <f t="shared" si="3"/>
        <v>Chưa cho lên đơn</v>
      </c>
      <c r="D466" s="132">
        <v>400000</v>
      </c>
      <c r="E466" s="110" t="s">
        <v>86</v>
      </c>
      <c r="F466" s="110"/>
      <c r="G466" s="10" t="str">
        <f t="shared" ref="G466:G505" si="4">A466&amp;","&amp;D466</f>
        <v>939696834,400000</v>
      </c>
    </row>
    <row r="467" spans="1:7" ht="19.5" hidden="1">
      <c r="A467" s="131">
        <v>939067079</v>
      </c>
      <c r="B467" s="108" t="str">
        <f>IF(A467&lt;&gt;"", VLOOKUP(A467,'Danh Sách Tổng KH'!$A$1:$B$547,2,0),"")</f>
        <v>Lê Thanh Dũng</v>
      </c>
      <c r="C467" s="109" t="str">
        <f t="shared" si="3"/>
        <v>Chưa cho lên đơn</v>
      </c>
      <c r="D467" s="132">
        <v>150000</v>
      </c>
      <c r="E467" s="110" t="s">
        <v>86</v>
      </c>
      <c r="F467" s="110"/>
      <c r="G467" s="10" t="str">
        <f t="shared" si="4"/>
        <v>939067079,150000</v>
      </c>
    </row>
    <row r="468" spans="1:7" ht="19.5" hidden="1">
      <c r="A468" s="131">
        <v>932959353</v>
      </c>
      <c r="B468" s="108" t="str">
        <f>IF(A468&lt;&gt;"", VLOOKUP(A468,'Danh Sách Tổng KH'!$A$1:$B$547,2,0),"")</f>
        <v>Lê Thanh Điền</v>
      </c>
      <c r="C468" s="109" t="str">
        <f t="shared" si="3"/>
        <v>Chưa cho lên đơn</v>
      </c>
      <c r="D468" s="132">
        <v>200000</v>
      </c>
      <c r="E468" s="110" t="s">
        <v>86</v>
      </c>
      <c r="F468" s="110"/>
      <c r="G468" s="10" t="str">
        <f t="shared" si="4"/>
        <v>932959353,200000</v>
      </c>
    </row>
    <row r="469" spans="1:7" ht="19.5" hidden="1">
      <c r="A469" s="131">
        <v>939231083</v>
      </c>
      <c r="B469" s="108" t="str">
        <f>IF(A469&lt;&gt;"", VLOOKUP(A469,'Danh Sách Tổng KH'!$A$1:$B$547,2,0),"")</f>
        <v>Quan Phước Thành</v>
      </c>
      <c r="C469" s="109" t="str">
        <f t="shared" si="3"/>
        <v>Chưa cho lên đơn</v>
      </c>
      <c r="D469" s="132">
        <v>50000</v>
      </c>
      <c r="E469" s="110" t="s">
        <v>86</v>
      </c>
      <c r="F469" s="110"/>
      <c r="G469" s="10" t="str">
        <f t="shared" si="4"/>
        <v>939231083,50000</v>
      </c>
    </row>
    <row r="470" spans="1:7" ht="19.5" hidden="1">
      <c r="A470" s="131">
        <v>769333938</v>
      </c>
      <c r="B470" s="108" t="str">
        <f>IF(A470&lt;&gt;"", VLOOKUP(A470,'Danh Sách Tổng KH'!$A$1:$B$547,2,0),"")</f>
        <v>Nguyễn Hoàng Thi xéo 90 tiền</v>
      </c>
      <c r="C470" s="109" t="str">
        <f t="shared" si="3"/>
        <v>Chưa cho lên đơn</v>
      </c>
      <c r="D470" s="132">
        <v>300000</v>
      </c>
      <c r="E470" s="110" t="s">
        <v>86</v>
      </c>
      <c r="F470" s="110"/>
      <c r="G470" s="10" t="str">
        <f t="shared" si="4"/>
        <v>769333938,300000</v>
      </c>
    </row>
    <row r="471" spans="1:7" ht="19.5" hidden="1">
      <c r="A471" s="131">
        <v>763993968</v>
      </c>
      <c r="B471" s="108" t="str">
        <f>IF(A471&lt;&gt;"", VLOOKUP(A471,'Danh Sách Tổng KH'!$A$1:$B$547,2,0),"")</f>
        <v>Đinh Tấn Hưng chồ bán Lư</v>
      </c>
      <c r="C471" s="109" t="str">
        <f t="shared" si="3"/>
        <v>Chưa cho lên đơn</v>
      </c>
      <c r="D471" s="132">
        <v>150000</v>
      </c>
      <c r="E471" s="110" t="s">
        <v>86</v>
      </c>
      <c r="F471" s="110"/>
      <c r="G471" s="10" t="str">
        <f t="shared" si="4"/>
        <v>763993968,150000</v>
      </c>
    </row>
    <row r="472" spans="1:7" ht="19.5" hidden="1">
      <c r="A472" s="131">
        <v>939033679</v>
      </c>
      <c r="B472" s="108" t="str">
        <f>IF(A472&lt;&gt;"", VLOOKUP(A472,'Danh Sách Tổng KH'!$A$1:$B$547,2,0),"")</f>
        <v>Phạm Võ Dạ Lý</v>
      </c>
      <c r="C472" s="109" t="str">
        <f t="shared" si="3"/>
        <v>Chưa cho lên đơn</v>
      </c>
      <c r="D472" s="132">
        <v>200000</v>
      </c>
      <c r="E472" s="110" t="s">
        <v>86</v>
      </c>
      <c r="F472" s="110"/>
      <c r="G472" s="10" t="str">
        <f t="shared" si="4"/>
        <v>939033679,200000</v>
      </c>
    </row>
    <row r="473" spans="1:7" ht="19.5" hidden="1">
      <c r="A473" s="131">
        <v>939946366</v>
      </c>
      <c r="B473" s="108" t="str">
        <f>IF(A473&lt;&gt;"", VLOOKUP(A473,'Danh Sách Tổng KH'!$A$1:$B$547,2,0),"")</f>
        <v>Nguyễn Thị Hồng Đào</v>
      </c>
      <c r="C473" s="109" t="str">
        <f t="shared" si="3"/>
        <v>Chưa cho lên đơn</v>
      </c>
      <c r="D473" s="132">
        <v>300000</v>
      </c>
      <c r="E473" s="110" t="s">
        <v>86</v>
      </c>
      <c r="F473" s="110"/>
      <c r="G473" s="10" t="str">
        <f t="shared" si="4"/>
        <v>939946366,300000</v>
      </c>
    </row>
    <row r="474" spans="1:7" ht="19.5" hidden="1">
      <c r="A474" s="131">
        <v>931782783</v>
      </c>
      <c r="B474" s="108" t="str">
        <f>IF(A474&lt;&gt;"", VLOOKUP(A474,'Danh Sách Tổng KH'!$A$1:$B$547,2,0),"")</f>
        <v>Nguyễn Minh Chí</v>
      </c>
      <c r="C474" s="109" t="str">
        <f t="shared" si="3"/>
        <v>Chưa cho lên đơn</v>
      </c>
      <c r="D474" s="132">
        <v>200000</v>
      </c>
      <c r="E474" s="110" t="s">
        <v>86</v>
      </c>
      <c r="F474" s="110"/>
      <c r="G474" s="10" t="str">
        <f t="shared" si="4"/>
        <v>931782783,200000</v>
      </c>
    </row>
    <row r="475" spans="1:7" ht="19.5" hidden="1">
      <c r="A475" s="131">
        <v>907965948</v>
      </c>
      <c r="B475" s="108" t="str">
        <f>IF(A475&lt;&gt;"", VLOOKUP(A475,'Danh Sách Tổng KH'!$A$1:$B$547,2,0),"")</f>
        <v>Nguyễn Kim Quang</v>
      </c>
      <c r="C475" s="109" t="str">
        <f t="shared" si="3"/>
        <v>Chưa cho lên đơn</v>
      </c>
      <c r="D475" s="132">
        <v>300000</v>
      </c>
      <c r="E475" s="110" t="s">
        <v>86</v>
      </c>
      <c r="F475" s="110" t="s">
        <v>86</v>
      </c>
      <c r="G475" s="10" t="str">
        <f t="shared" si="4"/>
        <v>907965948,300000</v>
      </c>
    </row>
    <row r="476" spans="1:7" ht="19.5" hidden="1">
      <c r="A476" s="131">
        <v>775538689</v>
      </c>
      <c r="B476" s="108" t="str">
        <f>IF(A476&lt;&gt;"", VLOOKUP(A476,'Danh Sách Tổng KH'!$A$1:$B$547,2,0),"")</f>
        <v>Lâm Phương Thúy</v>
      </c>
      <c r="C476" s="109" t="str">
        <f t="shared" si="3"/>
        <v>Chưa cho lên đơn</v>
      </c>
      <c r="D476" s="132">
        <v>100000</v>
      </c>
      <c r="E476" s="110" t="s">
        <v>86</v>
      </c>
      <c r="F476" s="110" t="s">
        <v>86</v>
      </c>
      <c r="G476" s="10" t="str">
        <f t="shared" si="4"/>
        <v>775538689,100000</v>
      </c>
    </row>
    <row r="477" spans="1:7" ht="19.5" hidden="1">
      <c r="A477" s="131">
        <v>932884946</v>
      </c>
      <c r="B477" s="108" t="str">
        <f>IF(A477&lt;&gt;"", VLOOKUP(A477,'Danh Sách Tổng KH'!$A$1:$B$547,2,0),"")</f>
        <v>Ngọc Châu</v>
      </c>
      <c r="C477" s="109" t="str">
        <f t="shared" si="3"/>
        <v>Chưa cho lên đơn</v>
      </c>
      <c r="D477" s="132">
        <v>250000</v>
      </c>
      <c r="E477" s="110" t="s">
        <v>86</v>
      </c>
      <c r="F477" s="110" t="s">
        <v>86</v>
      </c>
      <c r="G477" s="10" t="str">
        <f t="shared" si="4"/>
        <v>932884946,250000</v>
      </c>
    </row>
    <row r="478" spans="1:7" ht="19.5" hidden="1">
      <c r="A478" s="131">
        <v>939359580</v>
      </c>
      <c r="B478" s="108" t="str">
        <f>IF(A478&lt;&gt;"", VLOOKUP(A478,'Danh Sách Tổng KH'!$A$1:$B$547,2,0),"")</f>
        <v>Trần Thị Mỹ Cầm</v>
      </c>
      <c r="C478" s="109" t="str">
        <f t="shared" si="3"/>
        <v>Chưa cho lên đơn</v>
      </c>
      <c r="D478" s="132">
        <v>650000</v>
      </c>
      <c r="E478" s="110" t="s">
        <v>86</v>
      </c>
      <c r="F478" s="110" t="s">
        <v>86</v>
      </c>
      <c r="G478" s="10" t="str">
        <f t="shared" si="4"/>
        <v>939359580,650000</v>
      </c>
    </row>
    <row r="479" spans="1:7" ht="19.5" hidden="1">
      <c r="A479" s="131">
        <v>939231083</v>
      </c>
      <c r="B479" s="108" t="str">
        <f>IF(A479&lt;&gt;"", VLOOKUP(A479,'Danh Sách Tổng KH'!$A$1:$B$547,2,0),"")</f>
        <v>Quan Phước Thành</v>
      </c>
      <c r="C479" s="109" t="str">
        <f t="shared" si="3"/>
        <v>Chưa cho lên đơn</v>
      </c>
      <c r="D479" s="132">
        <v>150000</v>
      </c>
      <c r="E479" s="110" t="s">
        <v>86</v>
      </c>
      <c r="F479" s="110" t="s">
        <v>86</v>
      </c>
      <c r="G479" s="10" t="str">
        <f t="shared" si="4"/>
        <v>939231083,150000</v>
      </c>
    </row>
    <row r="480" spans="1:7" ht="19.5" hidden="1">
      <c r="A480" s="131">
        <v>931108299</v>
      </c>
      <c r="B480" s="108" t="str">
        <f>IF(A480&lt;&gt;"", VLOOKUP(A480,'Danh Sách Tổng KH'!$A$1:$B$547,2,0),"")</f>
        <v>Đặng Thanh Thùy</v>
      </c>
      <c r="C480" s="109" t="str">
        <f t="shared" si="3"/>
        <v>Chưa cho lên đơn</v>
      </c>
      <c r="D480" s="132">
        <v>150000</v>
      </c>
      <c r="E480" s="110" t="s">
        <v>86</v>
      </c>
      <c r="F480" s="110" t="s">
        <v>86</v>
      </c>
      <c r="G480" s="10" t="str">
        <f t="shared" si="4"/>
        <v>931108299,150000</v>
      </c>
    </row>
    <row r="481" spans="1:7" ht="19.5" hidden="1">
      <c r="A481" s="131">
        <v>939033679</v>
      </c>
      <c r="B481" s="108" t="str">
        <f>IF(A481&lt;&gt;"", VLOOKUP(A481,'Danh Sách Tổng KH'!$A$1:$B$547,2,0),"")</f>
        <v>Phạm Võ Dạ Lý</v>
      </c>
      <c r="C481" s="109" t="str">
        <f t="shared" si="3"/>
        <v>Chưa cho lên đơn</v>
      </c>
      <c r="D481" s="132">
        <v>150000</v>
      </c>
      <c r="E481" s="110" t="s">
        <v>86</v>
      </c>
      <c r="F481" s="110" t="s">
        <v>86</v>
      </c>
      <c r="G481" s="10" t="str">
        <f t="shared" si="4"/>
        <v>939033679,150000</v>
      </c>
    </row>
    <row r="482" spans="1:7" ht="19.5" hidden="1">
      <c r="A482" s="131">
        <v>766884366</v>
      </c>
      <c r="B482" s="108" t="str">
        <f>IF(A482&lt;&gt;"", VLOOKUP(A482,'Danh Sách Tổng KH'!$A$1:$B$547,2,0),"")</f>
        <v>Võ Thành Sơn</v>
      </c>
      <c r="C482" s="109" t="str">
        <f t="shared" si="3"/>
        <v>Chưa cho lên đơn</v>
      </c>
      <c r="D482" s="132">
        <v>150000</v>
      </c>
      <c r="E482" s="110" t="s">
        <v>86</v>
      </c>
      <c r="F482" s="110" t="s">
        <v>86</v>
      </c>
      <c r="G482" s="10" t="str">
        <f t="shared" si="4"/>
        <v>766884366,150000</v>
      </c>
    </row>
    <row r="483" spans="1:7" ht="19.5" hidden="1">
      <c r="A483" s="131">
        <v>901093686</v>
      </c>
      <c r="B483" s="108" t="str">
        <f>IF(A483&lt;&gt;"", VLOOKUP(A483,'Danh Sách Tổng KH'!$A$1:$B$547,2,0),"")</f>
        <v>Huỳnh Anh Tuấn</v>
      </c>
      <c r="C483" s="109" t="str">
        <f t="shared" si="3"/>
        <v>Chưa cho lên đơn</v>
      </c>
      <c r="D483" s="132">
        <v>150000</v>
      </c>
      <c r="E483" s="110" t="s">
        <v>86</v>
      </c>
      <c r="F483" s="110" t="s">
        <v>86</v>
      </c>
      <c r="G483" s="10" t="str">
        <f t="shared" si="4"/>
        <v>901093686,150000</v>
      </c>
    </row>
    <row r="484" spans="1:7" ht="19.5" hidden="1">
      <c r="A484" s="131">
        <v>907087883</v>
      </c>
      <c r="B484" s="108" t="str">
        <f>IF(A484&lt;&gt;"", VLOOKUP(A484,'Danh Sách Tổng KH'!$A$1:$B$547,2,0),"")</f>
        <v>Trần Hồng Thủy</v>
      </c>
      <c r="C484" s="109" t="str">
        <f t="shared" si="3"/>
        <v>Chưa cho lên đơn</v>
      </c>
      <c r="D484" s="132">
        <v>500000</v>
      </c>
      <c r="E484" s="110" t="s">
        <v>86</v>
      </c>
      <c r="F484" s="110" t="s">
        <v>86</v>
      </c>
      <c r="G484" s="10" t="str">
        <f t="shared" si="4"/>
        <v>907087883,500000</v>
      </c>
    </row>
    <row r="485" spans="1:7" ht="19.5" hidden="1">
      <c r="A485" s="131">
        <v>939094068</v>
      </c>
      <c r="B485" s="108" t="str">
        <f>IF(A485&lt;&gt;"", VLOOKUP(A485,'Danh Sách Tổng KH'!$A$1:$B$547,2,0),"")</f>
        <v>Hồ Thị Tâm</v>
      </c>
      <c r="C485" s="109" t="str">
        <f t="shared" si="3"/>
        <v>Chưa cho lên đơn</v>
      </c>
      <c r="D485" s="132">
        <v>150000</v>
      </c>
      <c r="E485" s="110"/>
      <c r="F485" s="110"/>
      <c r="G485" s="10" t="str">
        <f t="shared" si="4"/>
        <v>939094068,150000</v>
      </c>
    </row>
    <row r="486" spans="1:7" ht="19.5" hidden="1">
      <c r="A486" s="131">
        <v>907130059</v>
      </c>
      <c r="B486" s="108" t="str">
        <f>IF(A486&lt;&gt;"", VLOOKUP(A486,'Danh Sách Tổng KH'!$A$1:$B$547,2,0),"")</f>
        <v>Hải Đăng</v>
      </c>
      <c r="C486" s="109" t="str">
        <f t="shared" si="3"/>
        <v>Chưa cho lên đơn</v>
      </c>
      <c r="D486" s="132">
        <v>100000</v>
      </c>
      <c r="E486" s="110"/>
      <c r="F486" s="110"/>
      <c r="G486" s="10" t="str">
        <f t="shared" si="4"/>
        <v>907130059,100000</v>
      </c>
    </row>
    <row r="487" spans="1:7" ht="19.5" hidden="1">
      <c r="A487" s="131">
        <v>899167869</v>
      </c>
      <c r="B487" s="108" t="str">
        <f>IF(A487&lt;&gt;"", VLOOKUP(A487,'Danh Sách Tổng KH'!$A$1:$B$547,2,0),"")</f>
        <v>Đặng Thị Minh Giang</v>
      </c>
      <c r="C487" s="109" t="str">
        <f t="shared" si="3"/>
        <v>Chưa cho lên đơn</v>
      </c>
      <c r="D487" s="132">
        <v>150000</v>
      </c>
      <c r="E487" s="110"/>
      <c r="F487" s="110"/>
      <c r="G487" s="10" t="str">
        <f t="shared" si="4"/>
        <v>899167869,150000</v>
      </c>
    </row>
    <row r="488" spans="1:7" ht="19.5" hidden="1">
      <c r="A488" s="131">
        <v>939359580</v>
      </c>
      <c r="B488" s="108" t="str">
        <f>IF(A488&lt;&gt;"", VLOOKUP(A488,'Danh Sách Tổng KH'!$A$1:$B$547,2,0),"")</f>
        <v>Trần Thị Mỹ Cầm</v>
      </c>
      <c r="C488" s="109" t="str">
        <f t="shared" si="3"/>
        <v>Chưa cho lên đơn</v>
      </c>
      <c r="D488" s="132">
        <v>650000</v>
      </c>
      <c r="E488" s="110" t="s">
        <v>86</v>
      </c>
      <c r="F488" s="110"/>
      <c r="G488" s="10" t="str">
        <f t="shared" si="4"/>
        <v>939359580,650000</v>
      </c>
    </row>
    <row r="489" spans="1:7" ht="19.5" hidden="1">
      <c r="A489" s="131">
        <v>939618156</v>
      </c>
      <c r="B489" s="108" t="str">
        <f>IF(A489&lt;&gt;"", VLOOKUP(A489,'Danh Sách Tổng KH'!$A$1:$B$547,2,0),"")</f>
        <v>Lữ Ngọc Thảo</v>
      </c>
      <c r="C489" s="109" t="str">
        <f t="shared" si="3"/>
        <v>Chưa cho lên đơn</v>
      </c>
      <c r="D489" s="132">
        <v>200000</v>
      </c>
      <c r="E489" s="110" t="s">
        <v>86</v>
      </c>
      <c r="F489" s="110"/>
      <c r="G489" s="10" t="str">
        <f t="shared" si="4"/>
        <v>939618156,200000</v>
      </c>
    </row>
    <row r="490" spans="1:7" ht="19.5" hidden="1">
      <c r="A490" s="131">
        <v>939987111</v>
      </c>
      <c r="B490" s="108" t="str">
        <f>IF(A490&lt;&gt;"", VLOOKUP(A490,'Danh Sách Tổng KH'!$A$1:$B$547,2,0),"")</f>
        <v>Nguyễn Thái An</v>
      </c>
      <c r="C490" s="109" t="str">
        <f t="shared" si="3"/>
        <v>Chưa cho lên đơn</v>
      </c>
      <c r="D490" s="132">
        <v>150000</v>
      </c>
      <c r="E490" s="110" t="s">
        <v>86</v>
      </c>
      <c r="F490" s="110"/>
      <c r="G490" s="10" t="str">
        <f t="shared" si="4"/>
        <v>939987111,150000</v>
      </c>
    </row>
    <row r="491" spans="1:7" ht="19.5" hidden="1">
      <c r="A491" s="131">
        <v>704747477</v>
      </c>
      <c r="B491" s="108" t="str">
        <f>IF(A491&lt;&gt;"", VLOOKUP(A491,'Danh Sách Tổng KH'!$A$1:$B$547,2,0),"")</f>
        <v>Dương Anh Tuấn</v>
      </c>
      <c r="C491" s="109" t="str">
        <f t="shared" si="3"/>
        <v>Chưa cho lên đơn</v>
      </c>
      <c r="D491" s="132">
        <v>200000</v>
      </c>
      <c r="E491" s="110" t="s">
        <v>86</v>
      </c>
      <c r="F491" s="110"/>
      <c r="G491" s="10" t="str">
        <f t="shared" si="4"/>
        <v>704747477,200000</v>
      </c>
    </row>
    <row r="492" spans="1:7" ht="19.5" hidden="1">
      <c r="A492" s="131">
        <v>939231083</v>
      </c>
      <c r="B492" s="108" t="str">
        <f>IF(A492&lt;&gt;"", VLOOKUP(A492,'Danh Sách Tổng KH'!$A$1:$B$547,2,0),"")</f>
        <v>Quan Phước Thành</v>
      </c>
      <c r="C492" s="109" t="str">
        <f t="shared" si="3"/>
        <v>Chưa cho lên đơn</v>
      </c>
      <c r="D492" s="132">
        <v>150000</v>
      </c>
      <c r="E492" s="110" t="s">
        <v>86</v>
      </c>
      <c r="F492" s="110"/>
      <c r="G492" s="10" t="str">
        <f t="shared" si="4"/>
        <v>939231083,150000</v>
      </c>
    </row>
    <row r="493" spans="1:7" ht="19.5" hidden="1">
      <c r="A493" s="131">
        <v>907087883</v>
      </c>
      <c r="B493" s="108" t="str">
        <f>IF(A493&lt;&gt;"", VLOOKUP(A493,'Danh Sách Tổng KH'!$A$1:$B$547,2,0),"")</f>
        <v>Trần Hồng Thủy</v>
      </c>
      <c r="C493" s="109" t="str">
        <f t="shared" si="3"/>
        <v>Chưa cho lên đơn</v>
      </c>
      <c r="D493" s="132">
        <v>550000</v>
      </c>
      <c r="E493" s="110" t="s">
        <v>86</v>
      </c>
      <c r="F493" s="110"/>
      <c r="G493" s="10" t="str">
        <f t="shared" si="4"/>
        <v>907087883,550000</v>
      </c>
    </row>
    <row r="494" spans="1:7" ht="19.5" hidden="1">
      <c r="A494" s="131">
        <v>766884366</v>
      </c>
      <c r="B494" s="108" t="str">
        <f>IF(A494&lt;&gt;"", VLOOKUP(A494,'Danh Sách Tổng KH'!$A$1:$B$547,2,0),"")</f>
        <v>Võ Thành Sơn</v>
      </c>
      <c r="C494" s="109" t="str">
        <f t="shared" si="3"/>
        <v>Chưa cho lên đơn</v>
      </c>
      <c r="D494" s="132">
        <v>100000</v>
      </c>
      <c r="E494" s="110" t="s">
        <v>86</v>
      </c>
      <c r="F494" s="110"/>
      <c r="G494" s="10" t="str">
        <f t="shared" si="4"/>
        <v>766884366,100000</v>
      </c>
    </row>
    <row r="495" spans="1:7" ht="19.5">
      <c r="A495" s="131"/>
      <c r="B495" s="108" t="str">
        <f>IF(A495&lt;&gt;"", VLOOKUP(A495,'Danh Sách Tổng KH'!$A$1:$B$547,2,0),"")</f>
        <v/>
      </c>
      <c r="C495" s="109" t="str">
        <f t="shared" si="3"/>
        <v/>
      </c>
      <c r="D495" s="132"/>
      <c r="E495" s="110"/>
      <c r="F495" s="110"/>
      <c r="G495" s="10" t="str">
        <f t="shared" si="4"/>
        <v>,</v>
      </c>
    </row>
    <row r="496" spans="1:7" ht="19.5">
      <c r="A496" s="131"/>
      <c r="B496" s="108" t="str">
        <f>IF(A496&lt;&gt;"", VLOOKUP(A496,'Danh Sách Tổng KH'!$A$1:$B$547,2,0),"")</f>
        <v/>
      </c>
      <c r="C496" s="109" t="str">
        <f t="shared" si="3"/>
        <v/>
      </c>
      <c r="D496" s="132"/>
      <c r="E496" s="110"/>
      <c r="F496" s="110"/>
      <c r="G496" s="10" t="str">
        <f t="shared" si="4"/>
        <v>,</v>
      </c>
    </row>
    <row r="497" spans="1:7" ht="19.5">
      <c r="A497" s="131"/>
      <c r="B497" s="108" t="str">
        <f>IF(A497&lt;&gt;"", VLOOKUP(A497,'Danh Sách Tổng KH'!$A$1:$B$547,2,0),"")</f>
        <v/>
      </c>
      <c r="C497" s="109" t="str">
        <f t="shared" si="3"/>
        <v/>
      </c>
      <c r="D497" s="132"/>
      <c r="E497" s="110"/>
      <c r="F497" s="110"/>
      <c r="G497" s="10" t="str">
        <f t="shared" si="4"/>
        <v>,</v>
      </c>
    </row>
    <row r="498" spans="1:7" ht="19.5">
      <c r="A498" s="131"/>
      <c r="B498" s="108" t="str">
        <f>IF(A498&lt;&gt;"", VLOOKUP(A498,'Danh Sách Tổng KH'!$A$1:$B$547,2,0),"")</f>
        <v/>
      </c>
      <c r="C498" s="109" t="str">
        <f t="shared" si="3"/>
        <v/>
      </c>
      <c r="D498" s="132"/>
      <c r="E498" s="110"/>
      <c r="F498" s="110"/>
      <c r="G498" s="10" t="str">
        <f t="shared" si="4"/>
        <v>,</v>
      </c>
    </row>
    <row r="499" spans="1:7" ht="19.5">
      <c r="A499" s="131"/>
      <c r="B499" s="108" t="str">
        <f>IF(A499&lt;&gt;"", VLOOKUP(A499,'Danh Sách Tổng KH'!$A$1:$B$547,2,0),"")</f>
        <v/>
      </c>
      <c r="C499" s="109" t="str">
        <f t="shared" si="3"/>
        <v/>
      </c>
      <c r="D499" s="132"/>
      <c r="E499" s="110"/>
      <c r="F499" s="110"/>
      <c r="G499" s="10" t="str">
        <f t="shared" si="4"/>
        <v>,</v>
      </c>
    </row>
    <row r="500" spans="1:7" ht="19.5">
      <c r="A500" s="131"/>
      <c r="B500" s="108" t="str">
        <f>IF(A500&lt;&gt;"", VLOOKUP(A500,'Danh Sách Tổng KH'!$A$1:$B$547,2,0),"")</f>
        <v/>
      </c>
      <c r="C500" s="109" t="str">
        <f t="shared" si="3"/>
        <v/>
      </c>
      <c r="D500" s="132"/>
      <c r="E500" s="110"/>
      <c r="F500" s="110"/>
      <c r="G500" s="10" t="str">
        <f t="shared" si="4"/>
        <v>,</v>
      </c>
    </row>
    <row r="501" spans="1:7" ht="19.5">
      <c r="A501" s="131"/>
      <c r="B501" s="108" t="str">
        <f>IF(A501&lt;&gt;"", VLOOKUP(A501,'Danh Sách Tổng KH'!$A$1:$B$547,2,0),"")</f>
        <v/>
      </c>
      <c r="C501" s="109" t="str">
        <f t="shared" si="3"/>
        <v/>
      </c>
      <c r="D501" s="132"/>
      <c r="E501" s="110"/>
      <c r="F501" s="110"/>
      <c r="G501" s="10" t="str">
        <f t="shared" si="4"/>
        <v>,</v>
      </c>
    </row>
    <row r="502" spans="1:7" ht="19.5">
      <c r="A502" s="131"/>
      <c r="B502" s="108" t="str">
        <f>IF(A502&lt;&gt;"", VLOOKUP(A502,'Danh Sách Tổng KH'!$A$1:$B$547,2,0),"")</f>
        <v/>
      </c>
      <c r="C502" s="109" t="str">
        <f t="shared" si="3"/>
        <v/>
      </c>
      <c r="D502" s="132"/>
      <c r="E502" s="110"/>
      <c r="F502" s="110"/>
      <c r="G502" s="10" t="str">
        <f t="shared" si="4"/>
        <v>,</v>
      </c>
    </row>
    <row r="503" spans="1:7" ht="19.5">
      <c r="A503" s="131"/>
      <c r="B503" s="108" t="str">
        <f>IF(A503&lt;&gt;"", VLOOKUP(A503,'Danh Sách Tổng KH'!$A$1:$B$547,2,0),"")</f>
        <v/>
      </c>
      <c r="C503" s="109" t="str">
        <f t="shared" si="3"/>
        <v/>
      </c>
      <c r="D503" s="132"/>
      <c r="E503" s="110"/>
      <c r="F503" s="110"/>
      <c r="G503" s="10" t="str">
        <f t="shared" si="4"/>
        <v>,</v>
      </c>
    </row>
    <row r="504" spans="1:7" ht="19.5">
      <c r="A504" s="131"/>
      <c r="B504" s="108" t="str">
        <f>IF(A504&lt;&gt;"", VLOOKUP(A504,'Danh Sách Tổng KH'!$A$1:$B$547,2,0),"")</f>
        <v/>
      </c>
      <c r="C504" s="109" t="str">
        <f t="shared" si="3"/>
        <v/>
      </c>
      <c r="D504" s="132"/>
      <c r="E504" s="110"/>
      <c r="F504" s="110"/>
      <c r="G504" s="10" t="str">
        <f t="shared" si="4"/>
        <v>,</v>
      </c>
    </row>
    <row r="505" spans="1:7" ht="19.5">
      <c r="A505" s="131"/>
      <c r="B505" s="108" t="str">
        <f>IF(A505&lt;&gt;"", VLOOKUP(A505,'Danh Sách Tổng KH'!$A$1:$B$547,2,0),"")</f>
        <v/>
      </c>
      <c r="C505" s="109" t="str">
        <f t="shared" si="3"/>
        <v/>
      </c>
      <c r="D505" s="132"/>
      <c r="E505" s="110"/>
      <c r="F505" s="110"/>
      <c r="G505" s="10" t="str">
        <f t="shared" si="4"/>
        <v>,</v>
      </c>
    </row>
  </sheetData>
  <autoFilter ref="A1:F907" xr:uid="{00000000-0009-0000-0000-000003000000}"/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080"/>
  <sheetViews>
    <sheetView topLeftCell="A67" workbookViewId="0">
      <selection activeCell="I13" sqref="I13"/>
    </sheetView>
  </sheetViews>
  <sheetFormatPr defaultColWidth="12.5703125" defaultRowHeight="15.75" customHeight="1"/>
  <cols>
    <col min="1" max="1" width="20.28515625" customWidth="1"/>
    <col min="2" max="2" width="25" customWidth="1"/>
    <col min="3" max="3" width="20.28515625" customWidth="1"/>
    <col min="5" max="5" width="25.7109375" customWidth="1"/>
    <col min="7" max="7" width="20.42578125" customWidth="1"/>
  </cols>
  <sheetData>
    <row r="1" spans="1:6" ht="42.75" customHeight="1">
      <c r="A1" s="143" t="str">
        <f ca="1">"TRANG KIỂM TRA TRẠNG THÁI CHO CHẠY OTP TRONG THÁNG " &amp;MONTH(TODAY())</f>
        <v>TRANG KIỂM TRA TRẠNG THÁI CHO CHẠY OTP TRONG THÁNG 10</v>
      </c>
      <c r="B1" s="140"/>
      <c r="C1" s="140"/>
      <c r="D1" s="140"/>
      <c r="E1" s="140"/>
    </row>
    <row r="2" spans="1:6" ht="21.75">
      <c r="A2" s="144">
        <v>939078082</v>
      </c>
      <c r="B2" s="145" t="str">
        <f>IF(A2&lt;&gt;"", VLOOKUP(A2,'Danh Sách Tổng KH'!$A$1:$B$547,2,0),"")</f>
        <v>Huỳnh Thanh Vũ</v>
      </c>
      <c r="C2" s="146" t="str">
        <f t="shared" ref="C2:C80" si="0">IF(E2="x","Đã nạp","Lấy OTP")</f>
        <v>Lấy OTP</v>
      </c>
      <c r="D2" s="147">
        <v>250000</v>
      </c>
      <c r="E2" s="148"/>
      <c r="F2" s="149" t="str">
        <f t="shared" ref="F2:F80" si="1">A2&amp;","&amp;D2</f>
        <v>939078082,250000</v>
      </c>
    </row>
    <row r="3" spans="1:6" ht="21.75">
      <c r="A3" s="133">
        <v>932804935</v>
      </c>
      <c r="B3" s="108" t="str">
        <f>IF(A3&lt;&gt;"", VLOOKUP(A3,'Danh Sách Tổng KH'!$A$1:$B$547,2,0),"")</f>
        <v>Biện Kim Thủy</v>
      </c>
      <c r="C3" s="109" t="str">
        <f t="shared" si="0"/>
        <v>Lấy OTP</v>
      </c>
      <c r="D3" s="132">
        <v>50000</v>
      </c>
      <c r="E3" s="110"/>
      <c r="F3" s="10" t="str">
        <f t="shared" si="1"/>
        <v>932804935,50000</v>
      </c>
    </row>
    <row r="4" spans="1:6" ht="21.75">
      <c r="A4" s="133">
        <v>903687189</v>
      </c>
      <c r="B4" s="108" t="str">
        <f>IF(A4&lt;&gt;"", VLOOKUP(A4,'Danh Sách Tổng KH'!$A$1:$B$547,2,0),"")</f>
        <v>Mai Bích Liên</v>
      </c>
      <c r="C4" s="109" t="str">
        <f t="shared" si="0"/>
        <v>Đã nạp</v>
      </c>
      <c r="D4" s="132">
        <v>200000</v>
      </c>
      <c r="E4" s="110" t="s">
        <v>86</v>
      </c>
      <c r="F4" s="10" t="str">
        <f t="shared" si="1"/>
        <v>903687189,200000</v>
      </c>
    </row>
    <row r="5" spans="1:6" ht="21.75">
      <c r="A5" s="133">
        <v>908055725</v>
      </c>
      <c r="B5" s="108" t="str">
        <f>IF(A5&lt;&gt;"", VLOOKUP(A5,'Danh Sách Tổng KH'!$A$1:$B$547,2,0),"")</f>
        <v>Nguyễn Thị Xuân Liễu</v>
      </c>
      <c r="C5" s="109" t="str">
        <f t="shared" si="0"/>
        <v>Lấy OTP</v>
      </c>
      <c r="D5" s="132">
        <v>150000</v>
      </c>
      <c r="E5" s="110"/>
      <c r="F5" s="10" t="str">
        <f t="shared" si="1"/>
        <v>908055725,150000</v>
      </c>
    </row>
    <row r="6" spans="1:6" ht="21.75">
      <c r="A6" s="133">
        <v>902933446</v>
      </c>
      <c r="B6" s="108" t="str">
        <f>IF(A6&lt;&gt;"", VLOOKUP(A6,'Danh Sách Tổng KH'!$A$1:$B$547,2,0),"")</f>
        <v>Châu Thạch Đời</v>
      </c>
      <c r="C6" s="109" t="str">
        <f t="shared" si="0"/>
        <v>Lấy OTP</v>
      </c>
      <c r="D6" s="132">
        <v>150000</v>
      </c>
      <c r="E6" s="110"/>
      <c r="F6" s="10" t="str">
        <f t="shared" si="1"/>
        <v>902933446,150000</v>
      </c>
    </row>
    <row r="7" spans="1:6" ht="21.75">
      <c r="A7" s="133">
        <v>939364064</v>
      </c>
      <c r="B7" s="108" t="str">
        <f>IF(A7&lt;&gt;"", VLOOKUP(A7,'Danh Sách Tổng KH'!$A$1:$B$547,2,0),"")</f>
        <v>Huỳnh Hữu Quang</v>
      </c>
      <c r="C7" s="109" t="str">
        <f t="shared" si="0"/>
        <v>Đã nạp</v>
      </c>
      <c r="D7" s="132">
        <v>150000</v>
      </c>
      <c r="E7" s="110" t="s">
        <v>86</v>
      </c>
      <c r="F7" s="10" t="str">
        <f t="shared" si="1"/>
        <v>939364064,150000</v>
      </c>
    </row>
    <row r="8" spans="1:6" ht="21.75">
      <c r="A8" s="133">
        <v>901020266</v>
      </c>
      <c r="B8" s="108" t="str">
        <f>IF(A8&lt;&gt;"", VLOOKUP(A8,'Danh Sách Tổng KH'!$A$1:$B$547,2,0),"")</f>
        <v>Huỳnh Ngọc Thủy Tiên</v>
      </c>
      <c r="C8" s="109" t="str">
        <f t="shared" si="0"/>
        <v>Lấy OTP</v>
      </c>
      <c r="D8" s="132">
        <v>150000</v>
      </c>
      <c r="E8" s="110"/>
      <c r="F8" s="10" t="str">
        <f t="shared" si="1"/>
        <v>901020266,150000</v>
      </c>
    </row>
    <row r="9" spans="1:6" ht="21.75">
      <c r="A9" s="133">
        <v>939250771</v>
      </c>
      <c r="B9" s="108" t="str">
        <f>IF(A9&lt;&gt;"", VLOOKUP(A9,'Danh Sách Tổng KH'!$A$1:$B$547,2,0),"")</f>
        <v>Huỳnh Văn Viển</v>
      </c>
      <c r="C9" s="109" t="str">
        <f t="shared" si="0"/>
        <v>Đã nạp</v>
      </c>
      <c r="D9" s="132">
        <v>100000</v>
      </c>
      <c r="E9" s="110" t="s">
        <v>86</v>
      </c>
      <c r="F9" s="10" t="str">
        <f t="shared" si="1"/>
        <v>939250771,100000</v>
      </c>
    </row>
    <row r="10" spans="1:6" ht="21.75">
      <c r="A10" s="133">
        <v>938242839</v>
      </c>
      <c r="B10" s="108" t="str">
        <f>IF(A10&lt;&gt;"", VLOOKUP(A10,'Danh Sách Tổng KH'!$A$1:$B$547,2,0),"")</f>
        <v>Lê Hoàng Dũng</v>
      </c>
      <c r="C10" s="109" t="str">
        <f t="shared" si="0"/>
        <v>Đã nạp</v>
      </c>
      <c r="D10" s="132">
        <v>150000</v>
      </c>
      <c r="E10" s="110" t="s">
        <v>86</v>
      </c>
      <c r="F10" s="10" t="str">
        <f t="shared" si="1"/>
        <v>938242839,150000</v>
      </c>
    </row>
    <row r="11" spans="1:6" ht="21.75">
      <c r="A11" s="133">
        <v>939197722</v>
      </c>
      <c r="B11" s="108" t="str">
        <f>IF(A11&lt;&gt;"", VLOOKUP(A11,'Danh Sách Tổng KH'!$A$1:$B$547,2,0),"")</f>
        <v>Lê Hoàng Việt</v>
      </c>
      <c r="C11" s="109" t="str">
        <f t="shared" si="0"/>
        <v>Đã nạp</v>
      </c>
      <c r="D11" s="132">
        <v>200000</v>
      </c>
      <c r="E11" s="110" t="s">
        <v>86</v>
      </c>
      <c r="F11" s="10" t="str">
        <f t="shared" si="1"/>
        <v>939197722,200000</v>
      </c>
    </row>
    <row r="12" spans="1:6" ht="21.75">
      <c r="A12" s="133">
        <v>939409049</v>
      </c>
      <c r="B12" s="108" t="str">
        <f>IF(A12&lt;&gt;"", VLOOKUP(A12,'Danh Sách Tổng KH'!$A$1:$B$547,2,0),"")</f>
        <v>Lê Thanh Hên</v>
      </c>
      <c r="C12" s="109" t="str">
        <f t="shared" si="0"/>
        <v>Lấy OTP</v>
      </c>
      <c r="D12" s="132">
        <v>200000</v>
      </c>
      <c r="E12" s="110"/>
      <c r="F12" s="10" t="str">
        <f t="shared" si="1"/>
        <v>939409049,200000</v>
      </c>
    </row>
    <row r="13" spans="1:6" ht="21.75">
      <c r="A13" s="133">
        <v>902071313</v>
      </c>
      <c r="B13" s="108" t="str">
        <f>IF(A13&lt;&gt;"", VLOOKUP(A13,'Danh Sách Tổng KH'!$A$1:$B$547,2,0),"")</f>
        <v>Ngô Hồng Duẫn</v>
      </c>
      <c r="C13" s="109" t="str">
        <f t="shared" si="0"/>
        <v>Lấy OTP</v>
      </c>
      <c r="D13" s="132">
        <v>150000</v>
      </c>
      <c r="E13" s="110"/>
      <c r="F13" s="10" t="str">
        <f t="shared" si="1"/>
        <v>902071313,150000</v>
      </c>
    </row>
    <row r="14" spans="1:6" ht="21.75">
      <c r="A14" s="133">
        <v>767575599</v>
      </c>
      <c r="B14" s="108" t="str">
        <f>IF(A14&lt;&gt;"", VLOOKUP(A14,'Danh Sách Tổng KH'!$A$1:$B$547,2,0),"")</f>
        <v>Nguyễn Hữu Lộc</v>
      </c>
      <c r="C14" s="109" t="str">
        <f t="shared" si="0"/>
        <v>Đã nạp</v>
      </c>
      <c r="D14" s="132">
        <v>100000</v>
      </c>
      <c r="E14" s="110" t="s">
        <v>86</v>
      </c>
      <c r="F14" s="10" t="str">
        <f t="shared" si="1"/>
        <v>767575599,100000</v>
      </c>
    </row>
    <row r="15" spans="1:6" ht="21.75">
      <c r="A15" s="133">
        <v>939005459</v>
      </c>
      <c r="B15" s="108" t="str">
        <f>IF(A15&lt;&gt;"", VLOOKUP(A15,'Danh Sách Tổng KH'!$A$1:$B$547,2,0),"")</f>
        <v>Dương Thành Phước</v>
      </c>
      <c r="C15" s="109" t="str">
        <f t="shared" si="0"/>
        <v>Lấy OTP</v>
      </c>
      <c r="D15" s="132">
        <v>150000</v>
      </c>
      <c r="E15" s="110"/>
      <c r="F15" s="10" t="str">
        <f t="shared" si="1"/>
        <v>939005459,150000</v>
      </c>
    </row>
    <row r="16" spans="1:6" ht="21.75">
      <c r="A16" s="133">
        <v>936401887</v>
      </c>
      <c r="B16" s="108" t="str">
        <f>IF(A16&lt;&gt;"", VLOOKUP(A16,'Danh Sách Tổng KH'!$A$1:$B$547,2,0),"")</f>
        <v>Nguyễn Thanh Hải</v>
      </c>
      <c r="C16" s="109" t="str">
        <f t="shared" si="0"/>
        <v>Đã nạp</v>
      </c>
      <c r="D16" s="132">
        <v>150000</v>
      </c>
      <c r="E16" s="110" t="s">
        <v>86</v>
      </c>
      <c r="F16" s="10" t="str">
        <f t="shared" si="1"/>
        <v>936401887,150000</v>
      </c>
    </row>
    <row r="17" spans="1:6" ht="21.75">
      <c r="A17" s="133">
        <v>909995423</v>
      </c>
      <c r="B17" s="108" t="str">
        <f>IF(A17&lt;&gt;"", VLOOKUP(A17,'Danh Sách Tổng KH'!$A$1:$B$547,2,0),"")</f>
        <v>Nguyễn Thị Hồng Hạnh</v>
      </c>
      <c r="C17" s="109" t="str">
        <f t="shared" si="0"/>
        <v>Lấy OTP</v>
      </c>
      <c r="D17" s="132">
        <v>150000</v>
      </c>
      <c r="E17" s="110"/>
      <c r="F17" s="10" t="str">
        <f t="shared" si="1"/>
        <v>909995423,150000</v>
      </c>
    </row>
    <row r="18" spans="1:6" ht="21.75">
      <c r="A18" s="133">
        <v>931894540</v>
      </c>
      <c r="B18" s="108" t="str">
        <f>IF(A18&lt;&gt;"", VLOOKUP(A18,'Danh Sách Tổng KH'!$A$1:$B$547,2,0),"")</f>
        <v>Nguyễn Trọng Hiếu</v>
      </c>
      <c r="C18" s="109" t="str">
        <f t="shared" si="0"/>
        <v>Lấy OTP</v>
      </c>
      <c r="D18" s="132">
        <v>300000</v>
      </c>
      <c r="E18" s="110"/>
      <c r="F18" s="10" t="str">
        <f t="shared" si="1"/>
        <v>931894540,300000</v>
      </c>
    </row>
    <row r="19" spans="1:6" ht="21.75">
      <c r="A19" s="133">
        <v>766838368</v>
      </c>
      <c r="B19" s="108" t="str">
        <f>IF(A19&lt;&gt;"", VLOOKUP(A19,'Danh Sách Tổng KH'!$A$1:$B$547,2,0),"")</f>
        <v>Nguyễn Trọng Nhân</v>
      </c>
      <c r="C19" s="109" t="str">
        <f t="shared" si="0"/>
        <v>Lấy OTP</v>
      </c>
      <c r="D19" s="132">
        <v>150000</v>
      </c>
      <c r="E19" s="110"/>
      <c r="F19" s="10" t="str">
        <f t="shared" si="1"/>
        <v>766838368,150000</v>
      </c>
    </row>
    <row r="20" spans="1:6" ht="21.75">
      <c r="A20" s="133">
        <v>788791978</v>
      </c>
      <c r="B20" s="108" t="str">
        <f>IF(A20&lt;&gt;"", VLOOKUP(A20,'Danh Sách Tổng KH'!$A$1:$B$547,2,0),"")</f>
        <v>Nguyễn Tuyết My</v>
      </c>
      <c r="C20" s="109" t="str">
        <f t="shared" si="0"/>
        <v>Lấy OTP</v>
      </c>
      <c r="D20" s="132">
        <v>100000</v>
      </c>
      <c r="E20" s="110"/>
      <c r="F20" s="10" t="str">
        <f t="shared" si="1"/>
        <v>788791978,100000</v>
      </c>
    </row>
    <row r="21" spans="1:6" ht="21.75">
      <c r="A21" s="133">
        <v>931066039</v>
      </c>
      <c r="B21" s="108" t="str">
        <f>IF(A21&lt;&gt;"", VLOOKUP(A21,'Danh Sách Tổng KH'!$A$1:$B$547,2,0),"")</f>
        <v>Nguyễn Văn Trường</v>
      </c>
      <c r="C21" s="109" t="str">
        <f t="shared" si="0"/>
        <v>Lấy OTP</v>
      </c>
      <c r="D21" s="132">
        <v>150000</v>
      </c>
      <c r="E21" s="110"/>
      <c r="F21" s="10" t="str">
        <f t="shared" si="1"/>
        <v>931066039,150000</v>
      </c>
    </row>
    <row r="22" spans="1:6" ht="21.75">
      <c r="A22" s="133">
        <v>931110377</v>
      </c>
      <c r="B22" s="108" t="str">
        <f>IF(A22&lt;&gt;"", VLOOKUP(A22,'Danh Sách Tổng KH'!$A$1:$B$547,2,0),"")</f>
        <v>Lê Thị Kim Thoa</v>
      </c>
      <c r="C22" s="109" t="str">
        <f t="shared" si="0"/>
        <v>Lấy OTP</v>
      </c>
      <c r="D22" s="132">
        <v>100000</v>
      </c>
      <c r="E22" s="110"/>
      <c r="F22" s="10" t="str">
        <f t="shared" si="1"/>
        <v>931110377,100000</v>
      </c>
    </row>
    <row r="23" spans="1:6" ht="21.75">
      <c r="A23" s="133">
        <v>939999545</v>
      </c>
      <c r="B23" s="108" t="str">
        <f>IF(A23&lt;&gt;"", VLOOKUP(A23,'Danh Sách Tổng KH'!$A$1:$B$547,2,0),"")</f>
        <v>Trần Kim Hiệp</v>
      </c>
      <c r="C23" s="109" t="str">
        <f t="shared" si="0"/>
        <v>Lấy OTP</v>
      </c>
      <c r="D23" s="132">
        <v>50000</v>
      </c>
      <c r="E23" s="110"/>
      <c r="F23" s="10" t="str">
        <f t="shared" si="1"/>
        <v>939999545,50000</v>
      </c>
    </row>
    <row r="24" spans="1:6" ht="21.75">
      <c r="A24" s="133">
        <v>932321231</v>
      </c>
      <c r="B24" s="108" t="str">
        <f>IF(A24&lt;&gt;"", VLOOKUP(A24,'Danh Sách Tổng KH'!$A$1:$B$547,2,0),"")</f>
        <v>Trần Phước Thọ</v>
      </c>
      <c r="C24" s="109" t="str">
        <f t="shared" si="0"/>
        <v>Lấy OTP</v>
      </c>
      <c r="D24" s="132">
        <v>150000</v>
      </c>
      <c r="E24" s="110"/>
      <c r="F24" s="10" t="str">
        <f t="shared" si="1"/>
        <v>932321231,150000</v>
      </c>
    </row>
    <row r="25" spans="1:6" ht="21.75">
      <c r="A25" s="133">
        <v>903887662</v>
      </c>
      <c r="B25" s="108" t="str">
        <f>IF(A25&lt;&gt;"", VLOOKUP(A25,'Danh Sách Tổng KH'!$A$1:$B$547,2,0),"")</f>
        <v>Trần Quang Dũng</v>
      </c>
      <c r="C25" s="109" t="str">
        <f t="shared" si="0"/>
        <v>Lấy OTP</v>
      </c>
      <c r="D25" s="132">
        <v>100000</v>
      </c>
      <c r="E25" s="110"/>
      <c r="F25" s="10" t="str">
        <f t="shared" si="1"/>
        <v>903887662,100000</v>
      </c>
    </row>
    <row r="26" spans="1:6" ht="21.75">
      <c r="A26" s="133">
        <v>907656592</v>
      </c>
      <c r="B26" s="108" t="str">
        <f>IF(A26&lt;&gt;"", VLOOKUP(A26,'Danh Sách Tổng KH'!$A$1:$B$547,2,0),"")</f>
        <v>Trần Thị Ngọc Trang</v>
      </c>
      <c r="C26" s="109" t="str">
        <f t="shared" si="0"/>
        <v>Lấy OTP</v>
      </c>
      <c r="D26" s="132">
        <v>100000</v>
      </c>
      <c r="E26" s="110"/>
      <c r="F26" s="10" t="str">
        <f t="shared" si="1"/>
        <v>907656592,100000</v>
      </c>
    </row>
    <row r="27" spans="1:6" ht="21.75">
      <c r="A27" s="133">
        <v>907969197</v>
      </c>
      <c r="B27" s="108" t="str">
        <f>IF(A27&lt;&gt;"", VLOOKUP(A27,'Danh Sách Tổng KH'!$A$1:$B$547,2,0),"")</f>
        <v>Trương Minh Anh</v>
      </c>
      <c r="C27" s="109" t="str">
        <f t="shared" si="0"/>
        <v>Lấy OTP</v>
      </c>
      <c r="D27" s="132">
        <v>100000</v>
      </c>
      <c r="E27" s="110"/>
      <c r="F27" s="10" t="str">
        <f t="shared" si="1"/>
        <v>907969197,100000</v>
      </c>
    </row>
    <row r="28" spans="1:6" ht="21.75">
      <c r="A28" s="133">
        <v>907885586</v>
      </c>
      <c r="B28" s="108" t="str">
        <f>IF(A28&lt;&gt;"", VLOOKUP(A28,'Danh Sách Tổng KH'!$A$1:$B$547,2,0),"")</f>
        <v>Võ Thị Như Trang</v>
      </c>
      <c r="C28" s="109" t="str">
        <f t="shared" si="0"/>
        <v>Lấy OTP</v>
      </c>
      <c r="D28" s="132">
        <v>150000</v>
      </c>
      <c r="E28" s="110"/>
      <c r="F28" s="10" t="str">
        <f t="shared" si="1"/>
        <v>907885586,150000</v>
      </c>
    </row>
    <row r="29" spans="1:6" ht="21.75">
      <c r="A29" s="133">
        <v>937081999</v>
      </c>
      <c r="B29" s="108" t="str">
        <f>IF(A29&lt;&gt;"", VLOOKUP(A29,'Danh Sách Tổng KH'!$A$1:$B$547,2,0),"")</f>
        <v>Vương Thùy Ngân</v>
      </c>
      <c r="C29" s="109" t="str">
        <f t="shared" si="0"/>
        <v>Lấy OTP</v>
      </c>
      <c r="D29" s="132">
        <v>200000</v>
      </c>
      <c r="E29" s="110"/>
      <c r="F29" s="10" t="str">
        <f t="shared" si="1"/>
        <v>937081999,200000</v>
      </c>
    </row>
    <row r="30" spans="1:6" ht="21.75">
      <c r="A30" s="133">
        <v>907608386</v>
      </c>
      <c r="B30" s="108" t="str">
        <f>IF(A30&lt;&gt;"", VLOOKUP(A30,'Danh Sách Tổng KH'!$A$1:$B$547,2,0),"")</f>
        <v>Châu Hoàng Duy</v>
      </c>
      <c r="C30" s="109" t="str">
        <f t="shared" si="0"/>
        <v>Lấy OTP</v>
      </c>
      <c r="D30" s="132">
        <v>150000</v>
      </c>
      <c r="E30" s="110"/>
      <c r="F30" s="10" t="str">
        <f t="shared" si="1"/>
        <v>907608386,150000</v>
      </c>
    </row>
    <row r="31" spans="1:6" ht="21.75">
      <c r="A31" s="133">
        <v>939072365</v>
      </c>
      <c r="B31" s="108" t="str">
        <f>IF(A31&lt;&gt;"", VLOOKUP(A31,'Danh Sách Tổng KH'!$A$1:$B$547,2,0),"")</f>
        <v>Châu Mai Tuấn Cường</v>
      </c>
      <c r="C31" s="109" t="str">
        <f t="shared" si="0"/>
        <v>Lấy OTP</v>
      </c>
      <c r="D31" s="132">
        <v>150000</v>
      </c>
      <c r="E31" s="110"/>
      <c r="F31" s="10" t="str">
        <f t="shared" si="1"/>
        <v>939072365,150000</v>
      </c>
    </row>
    <row r="32" spans="1:6" ht="21.75">
      <c r="A32" s="133">
        <v>799595979</v>
      </c>
      <c r="B32" s="108" t="str">
        <f>IF(A32&lt;&gt;"", VLOOKUP(A32,'Danh Sách Tổng KH'!$A$1:$B$547,2,0),"")</f>
        <v>Nguyễn Hoàng Giang</v>
      </c>
      <c r="C32" s="109" t="str">
        <f t="shared" si="0"/>
        <v>Lấy OTP</v>
      </c>
      <c r="D32" s="132">
        <v>150000</v>
      </c>
      <c r="E32" s="110"/>
      <c r="F32" s="10" t="str">
        <f t="shared" si="1"/>
        <v>799595979,150000</v>
      </c>
    </row>
    <row r="33" spans="1:6" ht="21.75">
      <c r="A33" s="133">
        <v>797672509</v>
      </c>
      <c r="B33" s="108" t="str">
        <f>IF(A33&lt;&gt;"", VLOOKUP(A33,'Danh Sách Tổng KH'!$A$1:$B$547,2,0),"")</f>
        <v>Đào Kim Loan</v>
      </c>
      <c r="C33" s="109" t="str">
        <f t="shared" si="0"/>
        <v>Lấy OTP</v>
      </c>
      <c r="D33" s="132">
        <v>200000</v>
      </c>
      <c r="E33" s="110"/>
      <c r="F33" s="10" t="str">
        <f t="shared" si="1"/>
        <v>797672509,200000</v>
      </c>
    </row>
    <row r="34" spans="1:6" ht="21.75">
      <c r="A34" s="133">
        <v>939083539</v>
      </c>
      <c r="B34" s="108" t="str">
        <f>IF(A34&lt;&gt;"", VLOOKUP(A34,'Danh Sách Tổng KH'!$A$1:$B$547,2,0),"")</f>
        <v>Lê Văn Đông</v>
      </c>
      <c r="C34" s="109" t="str">
        <f t="shared" si="0"/>
        <v>Lấy OTP</v>
      </c>
      <c r="D34" s="132">
        <v>150000</v>
      </c>
      <c r="E34" s="110"/>
      <c r="F34" s="10" t="str">
        <f t="shared" si="1"/>
        <v>939083539,150000</v>
      </c>
    </row>
    <row r="35" spans="1:6" ht="21.75">
      <c r="A35" s="133">
        <v>931874342</v>
      </c>
      <c r="B35" s="108" t="str">
        <f>IF(A35&lt;&gt;"", VLOOKUP(A35,'Danh Sách Tổng KH'!$A$1:$B$547,2,0),"")</f>
        <v>Nghiêm Tuấn Khải</v>
      </c>
      <c r="C35" s="109" t="str">
        <f t="shared" si="0"/>
        <v>Lấy OTP</v>
      </c>
      <c r="D35" s="132">
        <v>150000</v>
      </c>
      <c r="E35" s="110"/>
      <c r="F35" s="10" t="str">
        <f t="shared" si="1"/>
        <v>931874342,150000</v>
      </c>
    </row>
    <row r="36" spans="1:6" ht="21.75">
      <c r="A36" s="133">
        <v>907833378</v>
      </c>
      <c r="B36" s="108" t="str">
        <f>IF(A36&lt;&gt;"", VLOOKUP(A36,'Danh Sách Tổng KH'!$A$1:$B$547,2,0),"")</f>
        <v>Nguyễn Thị Thanh Thúy</v>
      </c>
      <c r="C36" s="109" t="str">
        <f t="shared" si="0"/>
        <v>Lấy OTP</v>
      </c>
      <c r="D36" s="132">
        <v>150000</v>
      </c>
      <c r="E36" s="110"/>
      <c r="F36" s="10" t="str">
        <f t="shared" si="1"/>
        <v>907833378,150000</v>
      </c>
    </row>
    <row r="37" spans="1:6" ht="21.75">
      <c r="A37" s="133">
        <v>901059186</v>
      </c>
      <c r="B37" s="108" t="str">
        <f>IF(A37&lt;&gt;"", VLOOKUP(A37,'Danh Sách Tổng KH'!$A$1:$B$547,2,0),"")</f>
        <v>Nguyễn Công Thức</v>
      </c>
      <c r="C37" s="109" t="str">
        <f t="shared" si="0"/>
        <v>Lấy OTP</v>
      </c>
      <c r="D37" s="132">
        <v>100000</v>
      </c>
      <c r="E37" s="110"/>
      <c r="F37" s="10" t="str">
        <f t="shared" si="1"/>
        <v>901059186,100000</v>
      </c>
    </row>
    <row r="38" spans="1:6" ht="21.75">
      <c r="A38" s="133">
        <v>939696238</v>
      </c>
      <c r="B38" s="108" t="str">
        <f>IF(A38&lt;&gt;"", VLOOKUP(A38,'Danh Sách Tổng KH'!$A$1:$B$547,2,0),"")</f>
        <v>Nguyễn Đặng Quang Vinh</v>
      </c>
      <c r="C38" s="109" t="str">
        <f t="shared" si="0"/>
        <v>Lấy OTP</v>
      </c>
      <c r="D38" s="132">
        <v>100000</v>
      </c>
      <c r="E38" s="110"/>
      <c r="F38" s="10" t="str">
        <f t="shared" si="1"/>
        <v>939696238,100000</v>
      </c>
    </row>
    <row r="39" spans="1:6" ht="21.75">
      <c r="A39" s="133">
        <v>939197969</v>
      </c>
      <c r="B39" s="108" t="str">
        <f>IF(A39&lt;&gt;"", VLOOKUP(A39,'Danh Sách Tổng KH'!$A$1:$B$547,2,0),"")</f>
        <v>Nguyễn Ngọc Đức</v>
      </c>
      <c r="C39" s="109" t="str">
        <f t="shared" si="0"/>
        <v>Lấy OTP</v>
      </c>
      <c r="D39" s="132">
        <v>200000</v>
      </c>
      <c r="E39" s="110"/>
      <c r="F39" s="10" t="str">
        <f t="shared" si="1"/>
        <v>939197969,200000</v>
      </c>
    </row>
    <row r="40" spans="1:6" ht="21.75">
      <c r="A40" s="133">
        <v>931091819</v>
      </c>
      <c r="B40" s="108" t="str">
        <f>IF(A40&lt;&gt;"", VLOOKUP(A40,'Danh Sách Tổng KH'!$A$1:$B$547,2,0),"")</f>
        <v>Nguyễn Thanh Dũng</v>
      </c>
      <c r="C40" s="109" t="str">
        <f t="shared" si="0"/>
        <v>Lấy OTP</v>
      </c>
      <c r="D40" s="132">
        <v>150000</v>
      </c>
      <c r="E40" s="110"/>
      <c r="F40" s="10" t="str">
        <f t="shared" si="1"/>
        <v>931091819,150000</v>
      </c>
    </row>
    <row r="41" spans="1:6" ht="21.75">
      <c r="A41" s="133">
        <v>909151313</v>
      </c>
      <c r="B41" s="108" t="str">
        <f>IF(A41&lt;&gt;"", VLOOKUP(A41,'Danh Sách Tổng KH'!$A$1:$B$547,2,0),"")</f>
        <v>Nguyễn Thanh Tuấn</v>
      </c>
      <c r="C41" s="109" t="str">
        <f t="shared" si="0"/>
        <v>Lấy OTP</v>
      </c>
      <c r="D41" s="132">
        <v>250000</v>
      </c>
      <c r="E41" s="110"/>
      <c r="F41" s="10" t="str">
        <f t="shared" si="1"/>
        <v>909151313,250000</v>
      </c>
    </row>
    <row r="42" spans="1:6" ht="21.75">
      <c r="A42" s="133">
        <v>908959626</v>
      </c>
      <c r="B42" s="108" t="str">
        <f>IF(A42&lt;&gt;"", VLOOKUP(A42,'Danh Sách Tổng KH'!$A$1:$B$547,2,0),"")</f>
        <v>Phạm Chí Thuận</v>
      </c>
      <c r="C42" s="109" t="str">
        <f t="shared" si="0"/>
        <v>Lấy OTP</v>
      </c>
      <c r="D42" s="132">
        <v>150000</v>
      </c>
      <c r="E42" s="110"/>
      <c r="F42" s="10" t="str">
        <f t="shared" si="1"/>
        <v>908959626,150000</v>
      </c>
    </row>
    <row r="43" spans="1:6" ht="21.75">
      <c r="A43" s="133">
        <v>931889867</v>
      </c>
      <c r="B43" s="108" t="str">
        <f>IF(A43&lt;&gt;"", VLOOKUP(A43,'Danh Sách Tổng KH'!$A$1:$B$547,2,0),"")</f>
        <v>Nguyễn Thanh Tú</v>
      </c>
      <c r="C43" s="109" t="str">
        <f t="shared" si="0"/>
        <v>Lấy OTP</v>
      </c>
      <c r="D43" s="132">
        <v>150000</v>
      </c>
      <c r="E43" s="110"/>
      <c r="F43" s="10" t="str">
        <f t="shared" si="1"/>
        <v>931889867,150000</v>
      </c>
    </row>
    <row r="44" spans="1:6" ht="21.75">
      <c r="A44" s="133">
        <v>939250555</v>
      </c>
      <c r="B44" s="108" t="str">
        <f>IF(A44&lt;&gt;"", VLOOKUP(A44,'Danh Sách Tổng KH'!$A$1:$B$547,2,0),"")</f>
        <v>Huỳnh Quốc Minh</v>
      </c>
      <c r="C44" s="109" t="str">
        <f t="shared" si="0"/>
        <v>Lấy OTP</v>
      </c>
      <c r="D44" s="132">
        <v>150000</v>
      </c>
      <c r="E44" s="110"/>
      <c r="F44" s="10" t="str">
        <f t="shared" si="1"/>
        <v>939250555,150000</v>
      </c>
    </row>
    <row r="45" spans="1:6" ht="21.75">
      <c r="A45" s="133">
        <v>939986166</v>
      </c>
      <c r="B45" s="108" t="str">
        <f>IF(A45&lt;&gt;"", VLOOKUP(A45,'Danh Sách Tổng KH'!$A$1:$B$547,2,0),"")</f>
        <v>Lê Thu Thuỷ</v>
      </c>
      <c r="C45" s="109" t="str">
        <f t="shared" si="0"/>
        <v>Lấy OTP</v>
      </c>
      <c r="D45" s="132">
        <v>100000</v>
      </c>
      <c r="E45" s="110"/>
      <c r="F45" s="10" t="str">
        <f t="shared" si="1"/>
        <v>939986166,100000</v>
      </c>
    </row>
    <row r="46" spans="1:6" ht="21.75">
      <c r="A46" s="133">
        <v>901333649</v>
      </c>
      <c r="B46" s="108" t="str">
        <f>IF(A46&lt;&gt;"", VLOOKUP(A46,'Danh Sách Tổng KH'!$A$1:$B$547,2,0),"")</f>
        <v>Phạm Thanh Hùng</v>
      </c>
      <c r="C46" s="109" t="str">
        <f t="shared" si="0"/>
        <v>Lấy OTP</v>
      </c>
      <c r="D46" s="132">
        <v>50000</v>
      </c>
      <c r="E46" s="110"/>
      <c r="F46" s="10" t="str">
        <f t="shared" si="1"/>
        <v>901333649,50000</v>
      </c>
    </row>
    <row r="47" spans="1:6" ht="21.75">
      <c r="A47" s="133">
        <v>777876758</v>
      </c>
      <c r="B47" s="108" t="str">
        <f>IF(A47&lt;&gt;"", VLOOKUP(A47,'Danh Sách Tổng KH'!$A$1:$B$547,2,0),"")</f>
        <v>Phạm Văn Nhăm</v>
      </c>
      <c r="C47" s="109" t="str">
        <f t="shared" si="0"/>
        <v>Lấy OTP</v>
      </c>
      <c r="D47" s="132">
        <v>150000</v>
      </c>
      <c r="E47" s="110"/>
      <c r="F47" s="10" t="str">
        <f t="shared" si="1"/>
        <v>777876758,150000</v>
      </c>
    </row>
    <row r="48" spans="1:6" ht="21.75">
      <c r="A48" s="133">
        <v>907774799</v>
      </c>
      <c r="B48" s="108" t="str">
        <f>IF(A48&lt;&gt;"", VLOOKUP(A48,'Danh Sách Tổng KH'!$A$1:$B$547,2,0),"")</f>
        <v>Trần Quốc Cường</v>
      </c>
      <c r="C48" s="109" t="str">
        <f t="shared" si="0"/>
        <v>Lấy OTP</v>
      </c>
      <c r="D48" s="132">
        <v>150000</v>
      </c>
      <c r="E48" s="110"/>
      <c r="F48" s="10" t="str">
        <f t="shared" si="1"/>
        <v>907774799,150000</v>
      </c>
    </row>
    <row r="49" spans="1:6" ht="21.75">
      <c r="A49" s="133">
        <v>932898945</v>
      </c>
      <c r="B49" s="108" t="str">
        <f>IF(A49&lt;&gt;"", VLOOKUP(A49,'Danh Sách Tổng KH'!$A$1:$B$547,2,0),"")</f>
        <v>Trần Tấn Bình</v>
      </c>
      <c r="C49" s="109" t="str">
        <f t="shared" si="0"/>
        <v>Lấy OTP</v>
      </c>
      <c r="D49" s="132">
        <v>150000</v>
      </c>
      <c r="E49" s="110"/>
      <c r="F49" s="10" t="str">
        <f t="shared" si="1"/>
        <v>932898945,150000</v>
      </c>
    </row>
    <row r="50" spans="1:6" ht="21.75">
      <c r="A50" s="133">
        <v>772115354</v>
      </c>
      <c r="B50" s="108" t="str">
        <f>IF(A50&lt;&gt;"", VLOOKUP(A50,'Danh Sách Tổng KH'!$A$1:$B$547,2,0),"")</f>
        <v>Trương Thị Thu Tư</v>
      </c>
      <c r="C50" s="109" t="str">
        <f t="shared" si="0"/>
        <v>Lấy OTP</v>
      </c>
      <c r="D50" s="132">
        <v>100000</v>
      </c>
      <c r="E50" s="110"/>
      <c r="F50" s="10" t="str">
        <f t="shared" si="1"/>
        <v>772115354,100000</v>
      </c>
    </row>
    <row r="51" spans="1:6" ht="21.75">
      <c r="A51" s="133">
        <v>939770447</v>
      </c>
      <c r="B51" s="108" t="str">
        <f>IF(A51&lt;&gt;"", VLOOKUP(A51,'Danh Sách Tổng KH'!$A$1:$B$547,2,0),"")</f>
        <v>Đặng Thị Ánh Tuyết</v>
      </c>
      <c r="C51" s="109" t="str">
        <f t="shared" si="0"/>
        <v>Lấy OTP</v>
      </c>
      <c r="D51" s="132">
        <v>250000</v>
      </c>
      <c r="E51" s="110"/>
      <c r="F51" s="10" t="str">
        <f t="shared" si="1"/>
        <v>939770447,250000</v>
      </c>
    </row>
    <row r="52" spans="1:6" ht="21.75">
      <c r="A52" s="133">
        <v>907992217</v>
      </c>
      <c r="B52" s="108" t="str">
        <f>IF(A52&lt;&gt;"", VLOOKUP(A52,'Danh Sách Tổng KH'!$A$1:$B$547,2,0),"")</f>
        <v>Hộ Kinh Doanh Phong Sương</v>
      </c>
      <c r="C52" s="109" t="str">
        <f t="shared" si="0"/>
        <v>Lấy OTP</v>
      </c>
      <c r="D52" s="132">
        <v>300000</v>
      </c>
      <c r="E52" s="110"/>
      <c r="F52" s="10" t="str">
        <f t="shared" si="1"/>
        <v>907992217,300000</v>
      </c>
    </row>
    <row r="53" spans="1:6" ht="21.75">
      <c r="A53" s="133">
        <v>907352217</v>
      </c>
      <c r="B53" s="108" t="str">
        <f>IF(A53&lt;&gt;"", VLOOKUP(A53,'Danh Sách Tổng KH'!$A$1:$B$547,2,0),"")</f>
        <v>Nguyễn Thanh Phong</v>
      </c>
      <c r="C53" s="109" t="str">
        <f t="shared" si="0"/>
        <v>Lấy OTP</v>
      </c>
      <c r="D53" s="132">
        <v>150000</v>
      </c>
      <c r="E53" s="110"/>
      <c r="F53" s="10" t="str">
        <f t="shared" si="1"/>
        <v>907352217,150000</v>
      </c>
    </row>
    <row r="54" spans="1:6" ht="21.75">
      <c r="A54" s="133">
        <v>799682316</v>
      </c>
      <c r="B54" s="108" t="str">
        <f>IF(A54&lt;&gt;"", VLOOKUP(A54,'Danh Sách Tổng KH'!$A$1:$B$547,2,0),"")</f>
        <v>Huỳnh Thị Ngọc Trân</v>
      </c>
      <c r="C54" s="109" t="str">
        <f t="shared" si="0"/>
        <v>Lấy OTP</v>
      </c>
      <c r="D54" s="132">
        <v>150000</v>
      </c>
      <c r="E54" s="110"/>
      <c r="F54" s="10" t="str">
        <f t="shared" si="1"/>
        <v>799682316,150000</v>
      </c>
    </row>
    <row r="55" spans="1:6" ht="21.75">
      <c r="A55" s="133">
        <v>795468417</v>
      </c>
      <c r="B55" s="108" t="str">
        <f>IF(A55&lt;&gt;"", VLOOKUP(A55,'Danh Sách Tổng KH'!$A$1:$B$547,2,0),"")</f>
        <v>Lê Trung Tín</v>
      </c>
      <c r="C55" s="109" t="str">
        <f t="shared" si="0"/>
        <v>Lấy OTP</v>
      </c>
      <c r="D55" s="132">
        <v>150000</v>
      </c>
      <c r="E55" s="110"/>
      <c r="F55" s="10" t="str">
        <f t="shared" si="1"/>
        <v>795468417,150000</v>
      </c>
    </row>
    <row r="56" spans="1:6" ht="21.75">
      <c r="A56" s="133">
        <v>908201342</v>
      </c>
      <c r="B56" s="108" t="str">
        <f>IF(A56&lt;&gt;"", VLOOKUP(A56,'Danh Sách Tổng KH'!$A$1:$B$547,2,0),"")</f>
        <v>Nguyễn Thị Tuyết</v>
      </c>
      <c r="C56" s="109" t="str">
        <f t="shared" si="0"/>
        <v>Lấy OTP</v>
      </c>
      <c r="D56" s="132">
        <v>150000</v>
      </c>
      <c r="E56" s="110"/>
      <c r="F56" s="10" t="str">
        <f t="shared" si="1"/>
        <v>908201342,150000</v>
      </c>
    </row>
    <row r="57" spans="1:6" ht="21.75">
      <c r="A57" s="133">
        <v>778106265</v>
      </c>
      <c r="B57" s="108" t="str">
        <f>IF(A57&lt;&gt;"", VLOOKUP(A57,'Danh Sách Tổng KH'!$A$1:$B$547,2,0),"")</f>
        <v>Trần Quốc Trung</v>
      </c>
      <c r="C57" s="109" t="str">
        <f t="shared" si="0"/>
        <v>Lấy OTP</v>
      </c>
      <c r="D57" s="132">
        <v>150000</v>
      </c>
      <c r="E57" s="110"/>
      <c r="F57" s="10" t="str">
        <f t="shared" si="1"/>
        <v>778106265,150000</v>
      </c>
    </row>
    <row r="58" spans="1:6" ht="21.75">
      <c r="A58" s="133">
        <v>765942205</v>
      </c>
      <c r="B58" s="108" t="str">
        <f>IF(A58&lt;&gt;"", VLOOKUP(A58,'Danh Sách Tổng KH'!$A$1:$B$547,2,0),"")</f>
        <v>Võ Văn Xuân</v>
      </c>
      <c r="C58" s="109" t="str">
        <f t="shared" si="0"/>
        <v>Lấy OTP</v>
      </c>
      <c r="D58" s="132">
        <v>150000</v>
      </c>
      <c r="E58" s="110"/>
      <c r="F58" s="10" t="str">
        <f t="shared" si="1"/>
        <v>765942205,150000</v>
      </c>
    </row>
    <row r="59" spans="1:6" ht="21.75">
      <c r="A59" s="133">
        <v>932811939</v>
      </c>
      <c r="B59" s="108" t="str">
        <f>IF(A59&lt;&gt;"", VLOOKUP(A59,'Danh Sách Tổng KH'!$A$1:$B$547,2,0),"")</f>
        <v>Trần Kim Ân</v>
      </c>
      <c r="C59" s="109" t="str">
        <f t="shared" si="0"/>
        <v>Lấy OTP</v>
      </c>
      <c r="D59" s="132">
        <v>100000</v>
      </c>
      <c r="E59" s="110"/>
      <c r="F59" s="10" t="str">
        <f t="shared" si="1"/>
        <v>932811939,100000</v>
      </c>
    </row>
    <row r="60" spans="1:6" ht="21.75">
      <c r="A60" s="133">
        <v>931003568</v>
      </c>
      <c r="B60" s="108" t="str">
        <f>IF(A60&lt;&gt;"", VLOOKUP(A60,'Danh Sách Tổng KH'!$A$1:$B$547,2,0),"")</f>
        <v>Trần Quốc Tuấn</v>
      </c>
      <c r="C60" s="109" t="str">
        <f t="shared" si="0"/>
        <v>Lấy OTP</v>
      </c>
      <c r="D60" s="132">
        <v>150000</v>
      </c>
      <c r="E60" s="110"/>
      <c r="F60" s="10" t="str">
        <f t="shared" si="1"/>
        <v>931003568,150000</v>
      </c>
    </row>
    <row r="61" spans="1:6" ht="21.75">
      <c r="A61" s="133">
        <v>938175919</v>
      </c>
      <c r="B61" s="108" t="str">
        <f>IF(A61&lt;&gt;"", VLOOKUP(A61,'Danh Sách Tổng KH'!$A$1:$B$547,2,0),"")</f>
        <v>Trần Thanh Tân</v>
      </c>
      <c r="C61" s="109" t="str">
        <f t="shared" si="0"/>
        <v>Lấy OTP</v>
      </c>
      <c r="D61" s="132">
        <v>200000</v>
      </c>
      <c r="E61" s="110"/>
      <c r="F61" s="10" t="str">
        <f t="shared" si="1"/>
        <v>938175919,200000</v>
      </c>
    </row>
    <row r="62" spans="1:6" ht="21.75">
      <c r="A62" s="133">
        <v>901071766</v>
      </c>
      <c r="B62" s="108" t="str">
        <f>IF(A62&lt;&gt;"", VLOOKUP(A62,'Danh Sách Tổng KH'!$A$1:$B$547,2,0),"")</f>
        <v>Phạm Việt Tiến</v>
      </c>
      <c r="C62" s="109" t="str">
        <f t="shared" si="0"/>
        <v>Lấy OTP</v>
      </c>
      <c r="D62" s="132">
        <v>100000</v>
      </c>
      <c r="E62" s="110"/>
      <c r="F62" s="10" t="str">
        <f t="shared" si="1"/>
        <v>901071766,100000</v>
      </c>
    </row>
    <row r="63" spans="1:6" ht="21.75">
      <c r="A63" s="133">
        <v>766887899</v>
      </c>
      <c r="B63" s="108" t="str">
        <f>IF(A63&lt;&gt;"", VLOOKUP(A63,'Danh Sách Tổng KH'!$A$1:$B$547,2,0),"")</f>
        <v>Trương Phú Tài</v>
      </c>
      <c r="C63" s="109" t="str">
        <f t="shared" si="0"/>
        <v>Lấy OTP</v>
      </c>
      <c r="D63" s="132">
        <v>150000</v>
      </c>
      <c r="E63" s="110"/>
      <c r="F63" s="10" t="str">
        <f t="shared" si="1"/>
        <v>766887899,150000</v>
      </c>
    </row>
    <row r="64" spans="1:6" ht="21.75">
      <c r="A64" s="133">
        <v>907856315</v>
      </c>
      <c r="B64" s="108" t="str">
        <f>IF(A64&lt;&gt;"", VLOOKUP(A64,'Danh Sách Tổng KH'!$A$1:$B$547,2,0),"")</f>
        <v>Quan Thị Lan Hương</v>
      </c>
      <c r="C64" s="109" t="str">
        <f t="shared" si="0"/>
        <v>Lấy OTP</v>
      </c>
      <c r="D64" s="132">
        <v>250000</v>
      </c>
      <c r="E64" s="110"/>
      <c r="F64" s="10" t="str">
        <f t="shared" si="1"/>
        <v>907856315,250000</v>
      </c>
    </row>
    <row r="65" spans="1:6" ht="21.75">
      <c r="A65" s="133">
        <v>914405059</v>
      </c>
      <c r="B65" s="108" t="str">
        <f>IF(A65&lt;&gt;"", VLOOKUP(A65,'Danh Sách Tổng KH'!$A$1:$B$547,2,0),"")</f>
        <v>Đặng Văn Nghiệm Em</v>
      </c>
      <c r="C65" s="109" t="str">
        <f t="shared" si="0"/>
        <v>Lấy OTP</v>
      </c>
      <c r="D65" s="132">
        <v>150000</v>
      </c>
      <c r="E65" s="110"/>
      <c r="F65" s="10" t="str">
        <f t="shared" si="1"/>
        <v>914405059,150000</v>
      </c>
    </row>
    <row r="66" spans="1:6" ht="21.75">
      <c r="A66" s="133">
        <v>909251316</v>
      </c>
      <c r="B66" s="108" t="str">
        <f>IF(A66&lt;&gt;"", VLOOKUP(A66,'Danh Sách Tổng KH'!$A$1:$B$547,2,0),"")</f>
        <v>Lê Tuấn Vương</v>
      </c>
      <c r="C66" s="109" t="str">
        <f t="shared" si="0"/>
        <v>Lấy OTP</v>
      </c>
      <c r="D66" s="132">
        <v>100000</v>
      </c>
      <c r="E66" s="110"/>
      <c r="F66" s="10" t="str">
        <f t="shared" si="1"/>
        <v>909251316,100000</v>
      </c>
    </row>
    <row r="67" spans="1:6" ht="21.75">
      <c r="A67" s="133">
        <v>706610919</v>
      </c>
      <c r="B67" s="108" t="str">
        <f>IF(A67&lt;&gt;"", VLOOKUP(A67,'Danh Sách Tổng KH'!$A$1:$B$547,2,0),"")</f>
        <v>Trần Ngọc Khiêm</v>
      </c>
      <c r="C67" s="109" t="str">
        <f t="shared" si="0"/>
        <v>Lấy OTP</v>
      </c>
      <c r="D67" s="132">
        <v>150000</v>
      </c>
      <c r="E67" s="110"/>
      <c r="F67" s="10" t="str">
        <f t="shared" si="1"/>
        <v>706610919,150000</v>
      </c>
    </row>
    <row r="68" spans="1:6" ht="21.75">
      <c r="A68" s="133">
        <v>939801890</v>
      </c>
      <c r="B68" s="108" t="str">
        <f>IF(A68&lt;&gt;"", VLOOKUP(A68,'Danh Sách Tổng KH'!$A$1:$B$547,2,0),"")</f>
        <v>Phạm Văn Dành</v>
      </c>
      <c r="C68" s="109" t="str">
        <f t="shared" si="0"/>
        <v>Lấy OTP</v>
      </c>
      <c r="D68" s="132">
        <v>150000</v>
      </c>
      <c r="E68" s="110"/>
      <c r="F68" s="10" t="str">
        <f t="shared" si="1"/>
        <v>939801890,150000</v>
      </c>
    </row>
    <row r="69" spans="1:6" ht="21.75">
      <c r="A69" s="133">
        <v>762879579</v>
      </c>
      <c r="B69" s="108" t="str">
        <f>IF(A69&lt;&gt;"", VLOOKUP(A69,'Danh Sách Tổng KH'!$A$1:$B$547,2,0),"")</f>
        <v>Lâm Duyên</v>
      </c>
      <c r="C69" s="109" t="str">
        <f t="shared" si="0"/>
        <v>Lấy OTP</v>
      </c>
      <c r="D69" s="132">
        <v>300000</v>
      </c>
      <c r="E69" s="110"/>
      <c r="F69" s="10" t="str">
        <f t="shared" si="1"/>
        <v>762879579,300000</v>
      </c>
    </row>
    <row r="70" spans="1:6" ht="21.75">
      <c r="A70" s="133">
        <v>794969499</v>
      </c>
      <c r="B70" s="108" t="str">
        <f>IF(A70&lt;&gt;"", VLOOKUP(A70,'Danh Sách Tổng KH'!$A$1:$B$547,2,0),"")</f>
        <v>Đoàn Minh Tùng</v>
      </c>
      <c r="C70" s="109" t="str">
        <f t="shared" si="0"/>
        <v>Lấy OTP</v>
      </c>
      <c r="D70" s="132">
        <v>150000</v>
      </c>
      <c r="E70" s="110"/>
      <c r="F70" s="10" t="str">
        <f t="shared" si="1"/>
        <v>794969499,150000</v>
      </c>
    </row>
    <row r="71" spans="1:6" ht="21.75">
      <c r="A71" s="133">
        <v>706327279</v>
      </c>
      <c r="B71" s="108" t="str">
        <f>IF(A71&lt;&gt;"", VLOOKUP(A71,'Danh Sách Tổng KH'!$A$1:$B$547,2,0),"")</f>
        <v>Nguyễn Hữu Trí</v>
      </c>
      <c r="C71" s="109" t="str">
        <f t="shared" si="0"/>
        <v>Lấy OTP</v>
      </c>
      <c r="D71" s="132">
        <v>100000</v>
      </c>
      <c r="E71" s="110"/>
      <c r="F71" s="10" t="str">
        <f t="shared" si="1"/>
        <v>706327279,100000</v>
      </c>
    </row>
    <row r="72" spans="1:6" ht="21.75">
      <c r="A72" s="133">
        <v>762838158</v>
      </c>
      <c r="B72" s="108" t="str">
        <f>IF(A72&lt;&gt;"", VLOOKUP(A72,'Danh Sách Tổng KH'!$A$1:$B$547,2,0),"")</f>
        <v>Phan Thị Thùy Dung</v>
      </c>
      <c r="C72" s="109" t="str">
        <f t="shared" si="0"/>
        <v>Lấy OTP</v>
      </c>
      <c r="D72" s="132">
        <v>100000</v>
      </c>
      <c r="E72" s="110"/>
      <c r="F72" s="10" t="str">
        <f t="shared" si="1"/>
        <v>762838158,100000</v>
      </c>
    </row>
    <row r="73" spans="1:6" ht="21.75">
      <c r="A73" s="133">
        <v>931793117</v>
      </c>
      <c r="B73" s="108" t="str">
        <f>IF(A73&lt;&gt;"", VLOOKUP(A73,'Danh Sách Tổng KH'!$A$1:$B$547,2,0),"")</f>
        <v>Đặng Thanh Thùy</v>
      </c>
      <c r="C73" s="109" t="str">
        <f t="shared" si="0"/>
        <v>Lấy OTP</v>
      </c>
      <c r="D73" s="132">
        <v>100000</v>
      </c>
      <c r="E73" s="110"/>
      <c r="F73" s="10" t="str">
        <f t="shared" si="1"/>
        <v>931793117,100000</v>
      </c>
    </row>
    <row r="74" spans="1:6" ht="21.75">
      <c r="A74" s="133">
        <v>931002924</v>
      </c>
      <c r="B74" s="108" t="str">
        <f>IF(A74&lt;&gt;"", VLOOKUP(A74,'Danh Sách Tổng KH'!$A$1:$B$547,2,0),"")</f>
        <v>Huỳnh Ngọc Dung</v>
      </c>
      <c r="C74" s="109" t="str">
        <f t="shared" si="0"/>
        <v>Lấy OTP</v>
      </c>
      <c r="D74" s="132">
        <v>200000</v>
      </c>
      <c r="E74" s="110"/>
      <c r="F74" s="10" t="str">
        <f t="shared" si="1"/>
        <v>931002924,200000</v>
      </c>
    </row>
    <row r="75" spans="1:6" ht="21.75">
      <c r="A75" s="133">
        <v>939330360</v>
      </c>
      <c r="B75" s="108" t="str">
        <f>IF(A75&lt;&gt;"", VLOOKUP(A75,'Danh Sách Tổng KH'!$A$1:$B$547,2,0),"")</f>
        <v>Nguyễn Thanh Cường</v>
      </c>
      <c r="C75" s="109" t="str">
        <f t="shared" si="0"/>
        <v>Lấy OTP</v>
      </c>
      <c r="D75" s="132">
        <v>200000</v>
      </c>
      <c r="E75" s="110"/>
      <c r="F75" s="10" t="str">
        <f t="shared" si="1"/>
        <v>939330360,200000</v>
      </c>
    </row>
    <row r="76" spans="1:6" ht="21.75">
      <c r="A76" s="133">
        <v>931791299</v>
      </c>
      <c r="B76" s="108" t="str">
        <f>IF(A76&lt;&gt;"", VLOOKUP(A76,'Danh Sách Tổng KH'!$A$1:$B$547,2,0),"")</f>
        <v>Nguyễn Đặng Thiên Trang</v>
      </c>
      <c r="C76" s="109" t="str">
        <f t="shared" si="0"/>
        <v>Lấy OTP</v>
      </c>
      <c r="D76" s="132">
        <v>90000</v>
      </c>
      <c r="E76" s="110"/>
      <c r="F76" s="10" t="str">
        <f t="shared" si="1"/>
        <v>931791299,90000</v>
      </c>
    </row>
    <row r="77" spans="1:6" ht="21.75">
      <c r="A77" s="133">
        <v>907759788</v>
      </c>
      <c r="B77" s="108" t="str">
        <f>IF(A77&lt;&gt;"", VLOOKUP(A77,'Danh Sách Tổng KH'!$A$1:$B$547,2,0),"")</f>
        <v>Ngô Minh Nghĩa</v>
      </c>
      <c r="C77" s="109" t="str">
        <f t="shared" si="0"/>
        <v>Lấy OTP</v>
      </c>
      <c r="D77" s="132">
        <v>150000</v>
      </c>
      <c r="E77" s="110"/>
      <c r="F77" s="10" t="str">
        <f t="shared" si="1"/>
        <v>907759788,150000</v>
      </c>
    </row>
    <row r="78" spans="1:6" ht="21.75">
      <c r="A78" s="133">
        <v>767993899</v>
      </c>
      <c r="B78" s="108" t="str">
        <f>IF(A78&lt;&gt;"", VLOOKUP(A78,'Danh Sách Tổng KH'!$A$1:$B$547,2,0),"")</f>
        <v>Gin thể dục</v>
      </c>
      <c r="C78" s="109" t="str">
        <f t="shared" si="0"/>
        <v>Lấy OTP</v>
      </c>
      <c r="D78" s="132">
        <v>150000</v>
      </c>
      <c r="E78" s="110"/>
      <c r="F78" s="10" t="str">
        <f t="shared" si="1"/>
        <v>767993899,150000</v>
      </c>
    </row>
    <row r="79" spans="1:6" ht="21.75">
      <c r="A79" s="133">
        <v>939627045</v>
      </c>
      <c r="B79" s="108" t="str">
        <f>IF(A79&lt;&gt;"", VLOOKUP(A79,'Danh Sách Tổng KH'!$A$1:$B$547,2,0),"")</f>
        <v>Đỗ Phương Quang</v>
      </c>
      <c r="C79" s="109" t="str">
        <f t="shared" si="0"/>
        <v>Lấy OTP</v>
      </c>
      <c r="D79" s="132">
        <v>200000</v>
      </c>
      <c r="E79" s="110"/>
      <c r="F79" s="10" t="str">
        <f t="shared" si="1"/>
        <v>939627045,200000</v>
      </c>
    </row>
    <row r="80" spans="1:6" ht="21.75">
      <c r="A80" s="133">
        <v>939202935</v>
      </c>
      <c r="B80" s="108" t="str">
        <f>IF(A80&lt;&gt;"", VLOOKUP(A80,'Danh Sách Tổng KH'!$A$1:$B$547,2,0),"")</f>
        <v>Nguyễn Thị Ngọc Lyl</v>
      </c>
      <c r="C80" s="109" t="str">
        <f t="shared" si="0"/>
        <v>Lấy OTP</v>
      </c>
      <c r="D80" s="132">
        <v>400000</v>
      </c>
      <c r="E80" s="110"/>
      <c r="F80" s="10" t="str">
        <f t="shared" si="1"/>
        <v>939202935,400000</v>
      </c>
    </row>
    <row r="163" spans="1:5" ht="21.75">
      <c r="A163" s="134"/>
      <c r="B163" s="26"/>
      <c r="C163" s="135"/>
      <c r="D163" s="136"/>
      <c r="E163" s="137"/>
    </row>
    <row r="164" spans="1:5" ht="21.75">
      <c r="A164" s="134"/>
      <c r="B164" s="26"/>
      <c r="C164" s="135"/>
      <c r="D164" s="136"/>
      <c r="E164" s="137"/>
    </row>
    <row r="165" spans="1:5" ht="21.75">
      <c r="A165" s="134"/>
      <c r="B165" s="26"/>
      <c r="C165" s="135"/>
      <c r="D165" s="136"/>
      <c r="E165" s="137"/>
    </row>
    <row r="166" spans="1:5" ht="21.75">
      <c r="A166" s="134"/>
      <c r="B166" s="26"/>
      <c r="C166" s="135"/>
      <c r="D166" s="136"/>
      <c r="E166" s="137"/>
    </row>
    <row r="167" spans="1:5" ht="21.75">
      <c r="A167" s="134"/>
      <c r="B167" s="26"/>
      <c r="C167" s="135"/>
      <c r="D167" s="136"/>
      <c r="E167" s="137"/>
    </row>
    <row r="168" spans="1:5" ht="21.75">
      <c r="A168" s="134"/>
      <c r="B168" s="26"/>
      <c r="C168" s="135"/>
      <c r="D168" s="136"/>
      <c r="E168" s="137"/>
    </row>
    <row r="169" spans="1:5" ht="21.75">
      <c r="A169" s="134"/>
      <c r="B169" s="26"/>
      <c r="C169" s="135"/>
      <c r="D169" s="136"/>
      <c r="E169" s="137"/>
    </row>
    <row r="170" spans="1:5" ht="21.75">
      <c r="A170" s="134"/>
      <c r="B170" s="26"/>
      <c r="C170" s="135"/>
      <c r="D170" s="136"/>
      <c r="E170" s="137"/>
    </row>
    <row r="171" spans="1:5" ht="21.75">
      <c r="A171" s="134"/>
      <c r="B171" s="26"/>
      <c r="C171" s="135"/>
      <c r="D171" s="136"/>
      <c r="E171" s="137"/>
    </row>
    <row r="172" spans="1:5" ht="21.75">
      <c r="A172" s="134"/>
      <c r="B172" s="26"/>
      <c r="C172" s="135"/>
      <c r="D172" s="136"/>
      <c r="E172" s="137"/>
    </row>
    <row r="173" spans="1:5" ht="21.75">
      <c r="A173" s="134"/>
      <c r="B173" s="26"/>
      <c r="C173" s="135"/>
      <c r="D173" s="136"/>
      <c r="E173" s="137"/>
    </row>
    <row r="174" spans="1:5" ht="21.75">
      <c r="A174" s="134"/>
      <c r="B174" s="26"/>
      <c r="C174" s="135"/>
      <c r="D174" s="136"/>
      <c r="E174" s="137"/>
    </row>
    <row r="175" spans="1:5" ht="21.75">
      <c r="A175" s="134"/>
      <c r="B175" s="26"/>
      <c r="C175" s="135"/>
      <c r="D175" s="136"/>
      <c r="E175" s="137"/>
    </row>
    <row r="176" spans="1:5" ht="21.75">
      <c r="A176" s="134"/>
      <c r="B176" s="26"/>
      <c r="C176" s="135"/>
      <c r="D176" s="136"/>
      <c r="E176" s="137"/>
    </row>
    <row r="177" spans="1:5" ht="21.75">
      <c r="A177" s="134"/>
      <c r="B177" s="26"/>
      <c r="C177" s="135"/>
      <c r="D177" s="136"/>
      <c r="E177" s="137"/>
    </row>
    <row r="178" spans="1:5" ht="21.75">
      <c r="A178" s="134"/>
      <c r="B178" s="26"/>
      <c r="C178" s="135"/>
      <c r="D178" s="136"/>
      <c r="E178" s="137"/>
    </row>
    <row r="179" spans="1:5" ht="21.75">
      <c r="A179" s="134"/>
      <c r="B179" s="26"/>
      <c r="C179" s="135"/>
      <c r="D179" s="136"/>
      <c r="E179" s="137"/>
    </row>
    <row r="180" spans="1:5" ht="21.75">
      <c r="A180" s="134"/>
      <c r="B180" s="26"/>
      <c r="C180" s="135"/>
      <c r="D180" s="136"/>
      <c r="E180" s="137"/>
    </row>
    <row r="181" spans="1:5" ht="21.75">
      <c r="A181" s="134"/>
      <c r="B181" s="26"/>
      <c r="C181" s="135"/>
      <c r="D181" s="136"/>
      <c r="E181" s="137"/>
    </row>
    <row r="182" spans="1:5" ht="21.75">
      <c r="A182" s="134"/>
      <c r="B182" s="26"/>
      <c r="C182" s="135"/>
      <c r="D182" s="136"/>
      <c r="E182" s="137"/>
    </row>
    <row r="183" spans="1:5" ht="21.75">
      <c r="A183" s="134"/>
      <c r="B183" s="26"/>
      <c r="C183" s="135"/>
      <c r="D183" s="136"/>
      <c r="E183" s="137"/>
    </row>
    <row r="184" spans="1:5" ht="21.75">
      <c r="A184" s="134"/>
      <c r="B184" s="26"/>
      <c r="C184" s="135"/>
      <c r="D184" s="136"/>
      <c r="E184" s="137"/>
    </row>
    <row r="185" spans="1:5" ht="21.75">
      <c r="A185" s="134"/>
      <c r="B185" s="26"/>
      <c r="C185" s="135"/>
      <c r="D185" s="136"/>
      <c r="E185" s="137"/>
    </row>
    <row r="186" spans="1:5" ht="21.75">
      <c r="A186" s="134"/>
      <c r="B186" s="26"/>
      <c r="C186" s="135"/>
      <c r="D186" s="136"/>
      <c r="E186" s="137"/>
    </row>
    <row r="187" spans="1:5" ht="21.75">
      <c r="A187" s="134"/>
      <c r="B187" s="26"/>
      <c r="C187" s="135"/>
      <c r="D187" s="136"/>
      <c r="E187" s="137"/>
    </row>
    <row r="188" spans="1:5" ht="21.75">
      <c r="A188" s="134"/>
      <c r="B188" s="26"/>
      <c r="C188" s="135"/>
      <c r="D188" s="136"/>
      <c r="E188" s="137"/>
    </row>
    <row r="189" spans="1:5" ht="21.75">
      <c r="A189" s="134"/>
      <c r="B189" s="26"/>
      <c r="C189" s="135"/>
      <c r="D189" s="136"/>
      <c r="E189" s="137"/>
    </row>
    <row r="190" spans="1:5" ht="21.75">
      <c r="A190" s="134"/>
      <c r="B190" s="26"/>
      <c r="C190" s="135"/>
      <c r="D190" s="136"/>
      <c r="E190" s="137"/>
    </row>
    <row r="191" spans="1:5" ht="21.75">
      <c r="A191" s="134"/>
      <c r="B191" s="26"/>
      <c r="C191" s="135"/>
      <c r="D191" s="136"/>
      <c r="E191" s="137"/>
    </row>
    <row r="192" spans="1:5" ht="21.75">
      <c r="A192" s="134"/>
      <c r="B192" s="26"/>
      <c r="C192" s="135"/>
      <c r="D192" s="136"/>
      <c r="E192" s="137"/>
    </row>
    <row r="193" spans="1:5" ht="21.75">
      <c r="A193" s="134"/>
      <c r="B193" s="26"/>
      <c r="C193" s="135"/>
      <c r="D193" s="136"/>
      <c r="E193" s="137"/>
    </row>
    <row r="194" spans="1:5" ht="21.75">
      <c r="A194" s="134"/>
      <c r="B194" s="26"/>
      <c r="C194" s="135"/>
      <c r="D194" s="136"/>
      <c r="E194" s="137"/>
    </row>
    <row r="195" spans="1:5" ht="21.75">
      <c r="A195" s="134"/>
      <c r="B195" s="26"/>
      <c r="C195" s="135"/>
      <c r="D195" s="136"/>
      <c r="E195" s="137"/>
    </row>
    <row r="196" spans="1:5" ht="21.75">
      <c r="A196" s="134"/>
      <c r="B196" s="26"/>
      <c r="C196" s="135"/>
      <c r="D196" s="136"/>
      <c r="E196" s="137"/>
    </row>
    <row r="197" spans="1:5" ht="21.75">
      <c r="A197" s="134"/>
      <c r="B197" s="26"/>
      <c r="C197" s="135"/>
      <c r="D197" s="136"/>
      <c r="E197" s="137"/>
    </row>
    <row r="198" spans="1:5" ht="21.75">
      <c r="A198" s="134"/>
      <c r="B198" s="26"/>
      <c r="C198" s="135"/>
      <c r="D198" s="136"/>
      <c r="E198" s="137"/>
    </row>
    <row r="199" spans="1:5" ht="21.75">
      <c r="A199" s="134"/>
      <c r="B199" s="26"/>
      <c r="C199" s="135"/>
      <c r="D199" s="136"/>
      <c r="E199" s="137"/>
    </row>
    <row r="200" spans="1:5" ht="21.75">
      <c r="A200" s="134"/>
      <c r="B200" s="26"/>
      <c r="C200" s="135"/>
      <c r="D200" s="136"/>
      <c r="E200" s="137"/>
    </row>
    <row r="201" spans="1:5" ht="21.75">
      <c r="A201" s="134"/>
      <c r="B201" s="26"/>
      <c r="C201" s="135"/>
      <c r="D201" s="136"/>
      <c r="E201" s="137"/>
    </row>
    <row r="202" spans="1:5" ht="21.75">
      <c r="A202" s="134"/>
      <c r="B202" s="26"/>
      <c r="C202" s="135"/>
      <c r="D202" s="136"/>
      <c r="E202" s="137"/>
    </row>
    <row r="203" spans="1:5" ht="21.75">
      <c r="A203" s="134"/>
      <c r="B203" s="26"/>
      <c r="C203" s="135"/>
      <c r="D203" s="136"/>
      <c r="E203" s="137"/>
    </row>
    <row r="204" spans="1:5" ht="21.75">
      <c r="A204" s="134"/>
      <c r="B204" s="26"/>
      <c r="C204" s="135"/>
      <c r="D204" s="136"/>
      <c r="E204" s="137"/>
    </row>
    <row r="205" spans="1:5" ht="21.75">
      <c r="A205" s="134"/>
      <c r="B205" s="26"/>
      <c r="C205" s="135"/>
      <c r="D205" s="136"/>
      <c r="E205" s="137"/>
    </row>
    <row r="206" spans="1:5" ht="21.75">
      <c r="A206" s="134"/>
      <c r="B206" s="26"/>
      <c r="C206" s="135"/>
      <c r="D206" s="136"/>
      <c r="E206" s="137"/>
    </row>
    <row r="207" spans="1:5" ht="21.75">
      <c r="A207" s="134"/>
      <c r="B207" s="26"/>
      <c r="C207" s="135"/>
      <c r="D207" s="136"/>
      <c r="E207" s="137"/>
    </row>
    <row r="208" spans="1:5" ht="21.75">
      <c r="A208" s="134"/>
      <c r="B208" s="26"/>
      <c r="C208" s="135"/>
      <c r="D208" s="136"/>
      <c r="E208" s="137"/>
    </row>
    <row r="209" spans="1:5" ht="21.75">
      <c r="A209" s="134"/>
      <c r="B209" s="26"/>
      <c r="C209" s="135"/>
      <c r="D209" s="136"/>
      <c r="E209" s="137"/>
    </row>
    <row r="210" spans="1:5" ht="21.75">
      <c r="A210" s="134"/>
      <c r="B210" s="26"/>
      <c r="C210" s="135"/>
      <c r="D210" s="136"/>
      <c r="E210" s="137"/>
    </row>
    <row r="211" spans="1:5" ht="21.75">
      <c r="A211" s="134"/>
      <c r="B211" s="26"/>
      <c r="C211" s="135"/>
      <c r="D211" s="136"/>
      <c r="E211" s="137"/>
    </row>
    <row r="212" spans="1:5" ht="21.75">
      <c r="A212" s="134"/>
      <c r="B212" s="26"/>
      <c r="C212" s="135"/>
      <c r="D212" s="136"/>
      <c r="E212" s="137"/>
    </row>
    <row r="213" spans="1:5" ht="21.75">
      <c r="A213" s="134"/>
      <c r="B213" s="26"/>
      <c r="C213" s="135"/>
      <c r="D213" s="136"/>
      <c r="E213" s="137"/>
    </row>
    <row r="214" spans="1:5" ht="21.75">
      <c r="A214" s="134"/>
      <c r="B214" s="26"/>
      <c r="C214" s="135"/>
      <c r="D214" s="136"/>
      <c r="E214" s="137"/>
    </row>
    <row r="215" spans="1:5" ht="21.75">
      <c r="A215" s="134"/>
      <c r="B215" s="26"/>
      <c r="C215" s="135"/>
      <c r="D215" s="136"/>
      <c r="E215" s="137"/>
    </row>
    <row r="216" spans="1:5" ht="21.75">
      <c r="A216" s="134"/>
      <c r="B216" s="26"/>
      <c r="C216" s="135"/>
      <c r="D216" s="136"/>
      <c r="E216" s="137"/>
    </row>
    <row r="217" spans="1:5" ht="21.75">
      <c r="A217" s="134"/>
      <c r="B217" s="26"/>
      <c r="C217" s="135"/>
      <c r="D217" s="136"/>
      <c r="E217" s="137"/>
    </row>
    <row r="218" spans="1:5" ht="21.75">
      <c r="A218" s="134"/>
      <c r="B218" s="26"/>
      <c r="C218" s="135"/>
      <c r="D218" s="136"/>
      <c r="E218" s="137"/>
    </row>
    <row r="219" spans="1:5" ht="21.75">
      <c r="A219" s="134"/>
      <c r="B219" s="26"/>
      <c r="C219" s="135"/>
      <c r="D219" s="136"/>
      <c r="E219" s="137"/>
    </row>
    <row r="220" spans="1:5" ht="21.75">
      <c r="A220" s="134"/>
      <c r="B220" s="26"/>
      <c r="C220" s="135"/>
      <c r="D220" s="136"/>
      <c r="E220" s="137"/>
    </row>
    <row r="221" spans="1:5" ht="21.75">
      <c r="A221" s="134"/>
      <c r="B221" s="26"/>
      <c r="C221" s="135"/>
      <c r="D221" s="136"/>
      <c r="E221" s="137"/>
    </row>
    <row r="222" spans="1:5" ht="21.75">
      <c r="A222" s="134"/>
      <c r="B222" s="26"/>
      <c r="C222" s="135"/>
      <c r="D222" s="136"/>
      <c r="E222" s="137"/>
    </row>
    <row r="223" spans="1:5" ht="21.75">
      <c r="A223" s="134"/>
      <c r="B223" s="26"/>
      <c r="C223" s="135"/>
      <c r="D223" s="136"/>
      <c r="E223" s="137"/>
    </row>
    <row r="224" spans="1:5" ht="21.75">
      <c r="A224" s="134"/>
      <c r="B224" s="26"/>
      <c r="C224" s="135"/>
      <c r="D224" s="136"/>
      <c r="E224" s="137"/>
    </row>
    <row r="225" spans="1:5" ht="21.75">
      <c r="A225" s="134"/>
      <c r="B225" s="26"/>
      <c r="C225" s="135"/>
      <c r="D225" s="136"/>
      <c r="E225" s="137"/>
    </row>
    <row r="226" spans="1:5" ht="21.75">
      <c r="A226" s="134"/>
      <c r="B226" s="26"/>
      <c r="C226" s="135"/>
      <c r="D226" s="136"/>
      <c r="E226" s="137"/>
    </row>
    <row r="227" spans="1:5" ht="21.75">
      <c r="A227" s="134"/>
      <c r="B227" s="26"/>
      <c r="C227" s="135"/>
      <c r="D227" s="136"/>
      <c r="E227" s="137"/>
    </row>
    <row r="228" spans="1:5" ht="21.75">
      <c r="A228" s="134"/>
      <c r="B228" s="26"/>
      <c r="C228" s="135"/>
      <c r="D228" s="136"/>
      <c r="E228" s="137"/>
    </row>
    <row r="229" spans="1:5" ht="21.75">
      <c r="A229" s="134"/>
      <c r="B229" s="26"/>
      <c r="C229" s="135"/>
      <c r="D229" s="136"/>
      <c r="E229" s="137"/>
    </row>
    <row r="230" spans="1:5" ht="21.75">
      <c r="A230" s="134"/>
      <c r="B230" s="26"/>
      <c r="C230" s="135"/>
      <c r="D230" s="136"/>
      <c r="E230" s="137"/>
    </row>
    <row r="231" spans="1:5" ht="21.75">
      <c r="A231" s="134"/>
      <c r="B231" s="26"/>
      <c r="C231" s="135"/>
      <c r="D231" s="136"/>
      <c r="E231" s="137"/>
    </row>
    <row r="232" spans="1:5" ht="21.75">
      <c r="A232" s="134"/>
      <c r="B232" s="26"/>
      <c r="C232" s="135"/>
      <c r="D232" s="136"/>
      <c r="E232" s="137"/>
    </row>
    <row r="233" spans="1:5" ht="21.75">
      <c r="A233" s="134"/>
      <c r="B233" s="26"/>
      <c r="C233" s="135"/>
      <c r="D233" s="136"/>
      <c r="E233" s="137"/>
    </row>
    <row r="234" spans="1:5" ht="21.75">
      <c r="A234" s="134"/>
      <c r="B234" s="26"/>
      <c r="C234" s="135"/>
      <c r="D234" s="136"/>
      <c r="E234" s="137"/>
    </row>
    <row r="235" spans="1:5" ht="21.75">
      <c r="A235" s="134"/>
      <c r="B235" s="26"/>
      <c r="C235" s="135"/>
      <c r="D235" s="136"/>
      <c r="E235" s="137"/>
    </row>
    <row r="236" spans="1:5" ht="21.75">
      <c r="A236" s="134"/>
      <c r="B236" s="26"/>
      <c r="C236" s="135"/>
      <c r="D236" s="136"/>
      <c r="E236" s="137"/>
    </row>
    <row r="237" spans="1:5" ht="21.75">
      <c r="A237" s="134"/>
      <c r="B237" s="26"/>
      <c r="C237" s="135"/>
      <c r="D237" s="136"/>
      <c r="E237" s="137"/>
    </row>
    <row r="238" spans="1:5" ht="21.75">
      <c r="A238" s="134"/>
      <c r="B238" s="26"/>
      <c r="C238" s="135"/>
      <c r="D238" s="136"/>
      <c r="E238" s="137"/>
    </row>
    <row r="239" spans="1:5" ht="21.75">
      <c r="A239" s="134"/>
      <c r="B239" s="26"/>
      <c r="C239" s="135"/>
      <c r="D239" s="136"/>
      <c r="E239" s="137"/>
    </row>
    <row r="240" spans="1:5" ht="21.75">
      <c r="A240" s="134"/>
      <c r="B240" s="26"/>
      <c r="C240" s="135"/>
      <c r="D240" s="136"/>
      <c r="E240" s="137"/>
    </row>
    <row r="241" spans="1:5" ht="21.75">
      <c r="A241" s="134"/>
      <c r="B241" s="26"/>
      <c r="C241" s="135"/>
      <c r="D241" s="136"/>
      <c r="E241" s="137"/>
    </row>
    <row r="242" spans="1:5" ht="21.75">
      <c r="A242" s="134"/>
      <c r="B242" s="26"/>
      <c r="C242" s="135"/>
      <c r="D242" s="136"/>
      <c r="E242" s="137"/>
    </row>
    <row r="243" spans="1:5" ht="21.75">
      <c r="A243" s="134"/>
      <c r="B243" s="26"/>
      <c r="C243" s="135"/>
      <c r="D243" s="136"/>
      <c r="E243" s="137"/>
    </row>
    <row r="244" spans="1:5" ht="21.75">
      <c r="A244" s="134"/>
      <c r="B244" s="26"/>
      <c r="C244" s="135"/>
      <c r="D244" s="136"/>
      <c r="E244" s="137"/>
    </row>
    <row r="245" spans="1:5" ht="21.75">
      <c r="A245" s="134"/>
      <c r="B245" s="26"/>
      <c r="C245" s="135"/>
      <c r="D245" s="136"/>
      <c r="E245" s="137"/>
    </row>
    <row r="246" spans="1:5" ht="21.75">
      <c r="A246" s="134"/>
      <c r="B246" s="26"/>
      <c r="C246" s="135"/>
      <c r="D246" s="136"/>
      <c r="E246" s="137"/>
    </row>
    <row r="247" spans="1:5" ht="21.75">
      <c r="A247" s="134"/>
      <c r="B247" s="26"/>
      <c r="C247" s="135"/>
      <c r="D247" s="136"/>
      <c r="E247" s="137"/>
    </row>
    <row r="248" spans="1:5" ht="21.75">
      <c r="A248" s="134"/>
      <c r="B248" s="26"/>
      <c r="C248" s="135"/>
      <c r="D248" s="136"/>
      <c r="E248" s="137"/>
    </row>
    <row r="249" spans="1:5" ht="21.75">
      <c r="A249" s="134"/>
      <c r="B249" s="26"/>
      <c r="C249" s="135"/>
      <c r="D249" s="136"/>
      <c r="E249" s="137"/>
    </row>
    <row r="250" spans="1:5" ht="21.75">
      <c r="A250" s="134"/>
      <c r="B250" s="26"/>
      <c r="C250" s="135"/>
      <c r="D250" s="136"/>
      <c r="E250" s="137"/>
    </row>
    <row r="251" spans="1:5" ht="21.75">
      <c r="A251" s="134"/>
      <c r="B251" s="26"/>
      <c r="C251" s="135"/>
      <c r="D251" s="136"/>
      <c r="E251" s="137"/>
    </row>
    <row r="252" spans="1:5" ht="21.75">
      <c r="A252" s="134"/>
      <c r="B252" s="26"/>
      <c r="C252" s="135"/>
      <c r="D252" s="136"/>
      <c r="E252" s="137"/>
    </row>
    <row r="253" spans="1:5" ht="21.75">
      <c r="A253" s="134"/>
      <c r="B253" s="26"/>
      <c r="C253" s="135"/>
      <c r="D253" s="136"/>
      <c r="E253" s="137"/>
    </row>
    <row r="254" spans="1:5" ht="21.75">
      <c r="A254" s="134"/>
      <c r="B254" s="26"/>
      <c r="C254" s="135"/>
      <c r="D254" s="136"/>
      <c r="E254" s="137"/>
    </row>
    <row r="255" spans="1:5" ht="21.75">
      <c r="A255" s="134"/>
      <c r="B255" s="26"/>
      <c r="C255" s="135"/>
      <c r="D255" s="136"/>
      <c r="E255" s="137"/>
    </row>
    <row r="256" spans="1:5" ht="21.75">
      <c r="A256" s="134"/>
      <c r="B256" s="26"/>
      <c r="C256" s="135"/>
      <c r="D256" s="136"/>
      <c r="E256" s="137"/>
    </row>
    <row r="257" spans="1:5" ht="21.75">
      <c r="A257" s="134"/>
      <c r="B257" s="26"/>
      <c r="C257" s="135"/>
      <c r="D257" s="136"/>
      <c r="E257" s="137"/>
    </row>
    <row r="258" spans="1:5" ht="21.75">
      <c r="A258" s="134"/>
      <c r="B258" s="26"/>
      <c r="C258" s="135"/>
      <c r="D258" s="136"/>
      <c r="E258" s="137"/>
    </row>
    <row r="259" spans="1:5" ht="21.75">
      <c r="A259" s="134"/>
      <c r="B259" s="26"/>
      <c r="C259" s="135"/>
      <c r="D259" s="136"/>
      <c r="E259" s="137"/>
    </row>
    <row r="260" spans="1:5" ht="21.75">
      <c r="A260" s="134"/>
      <c r="B260" s="26"/>
      <c r="C260" s="135"/>
      <c r="D260" s="136"/>
      <c r="E260" s="137"/>
    </row>
    <row r="261" spans="1:5" ht="21.75">
      <c r="A261" s="134"/>
      <c r="B261" s="26"/>
      <c r="C261" s="135"/>
      <c r="D261" s="136"/>
      <c r="E261" s="137"/>
    </row>
    <row r="262" spans="1:5" ht="21.75">
      <c r="A262" s="134"/>
      <c r="B262" s="26"/>
      <c r="C262" s="135"/>
      <c r="D262" s="136"/>
      <c r="E262" s="137"/>
    </row>
    <row r="263" spans="1:5" ht="21.75">
      <c r="A263" s="134"/>
      <c r="B263" s="26"/>
      <c r="C263" s="135"/>
      <c r="D263" s="136"/>
      <c r="E263" s="137"/>
    </row>
    <row r="264" spans="1:5" ht="21.75">
      <c r="A264" s="134"/>
      <c r="B264" s="26"/>
      <c r="C264" s="135"/>
      <c r="D264" s="136"/>
      <c r="E264" s="137"/>
    </row>
    <row r="265" spans="1:5" ht="21.75">
      <c r="A265" s="134"/>
      <c r="B265" s="26"/>
      <c r="C265" s="135"/>
      <c r="D265" s="136"/>
      <c r="E265" s="137"/>
    </row>
    <row r="266" spans="1:5" ht="21.75">
      <c r="A266" s="134"/>
      <c r="B266" s="26"/>
      <c r="C266" s="135"/>
      <c r="D266" s="136"/>
      <c r="E266" s="137"/>
    </row>
    <row r="267" spans="1:5" ht="21.75">
      <c r="A267" s="134"/>
      <c r="B267" s="26"/>
      <c r="C267" s="135"/>
      <c r="D267" s="136"/>
      <c r="E267" s="137"/>
    </row>
    <row r="268" spans="1:5" ht="21.75">
      <c r="A268" s="134"/>
      <c r="B268" s="26"/>
      <c r="C268" s="135"/>
      <c r="D268" s="136"/>
      <c r="E268" s="137"/>
    </row>
    <row r="269" spans="1:5" ht="21.75">
      <c r="A269" s="134"/>
      <c r="B269" s="26"/>
      <c r="C269" s="135"/>
      <c r="D269" s="136"/>
      <c r="E269" s="137"/>
    </row>
    <row r="270" spans="1:5" ht="21.75">
      <c r="A270" s="134"/>
      <c r="B270" s="26"/>
      <c r="C270" s="135"/>
      <c r="D270" s="136"/>
      <c r="E270" s="137"/>
    </row>
    <row r="271" spans="1:5" ht="21.75">
      <c r="A271" s="134"/>
      <c r="B271" s="26"/>
      <c r="C271" s="135"/>
      <c r="D271" s="136"/>
      <c r="E271" s="137"/>
    </row>
    <row r="272" spans="1:5" ht="21.75">
      <c r="A272" s="134"/>
      <c r="B272" s="26"/>
      <c r="C272" s="135"/>
      <c r="D272" s="136"/>
      <c r="E272" s="137"/>
    </row>
    <row r="273" spans="1:5" ht="21.75">
      <c r="A273" s="134"/>
      <c r="B273" s="26"/>
      <c r="C273" s="135"/>
      <c r="D273" s="136"/>
      <c r="E273" s="137"/>
    </row>
    <row r="274" spans="1:5" ht="21.75">
      <c r="A274" s="134"/>
      <c r="B274" s="26"/>
      <c r="C274" s="135"/>
      <c r="D274" s="136"/>
      <c r="E274" s="137"/>
    </row>
    <row r="275" spans="1:5" ht="21.75">
      <c r="A275" s="134"/>
      <c r="B275" s="26"/>
      <c r="C275" s="135"/>
      <c r="D275" s="136"/>
      <c r="E275" s="137"/>
    </row>
    <row r="276" spans="1:5" ht="21.75">
      <c r="A276" s="134"/>
      <c r="B276" s="26"/>
      <c r="C276" s="135"/>
      <c r="D276" s="136"/>
      <c r="E276" s="137"/>
    </row>
    <row r="277" spans="1:5" ht="21.75">
      <c r="A277" s="134"/>
      <c r="B277" s="26"/>
      <c r="C277" s="135"/>
      <c r="D277" s="136"/>
      <c r="E277" s="137"/>
    </row>
    <row r="278" spans="1:5" ht="21.75">
      <c r="A278" s="134"/>
      <c r="B278" s="26"/>
      <c r="C278" s="135"/>
      <c r="D278" s="136"/>
      <c r="E278" s="137"/>
    </row>
    <row r="279" spans="1:5" ht="21.75">
      <c r="A279" s="134"/>
      <c r="B279" s="26"/>
      <c r="C279" s="135"/>
      <c r="D279" s="136"/>
      <c r="E279" s="137"/>
    </row>
    <row r="280" spans="1:5" ht="21.75">
      <c r="A280" s="134"/>
      <c r="B280" s="26"/>
      <c r="C280" s="135"/>
      <c r="D280" s="136"/>
      <c r="E280" s="137"/>
    </row>
    <row r="281" spans="1:5" ht="21.75">
      <c r="A281" s="134"/>
      <c r="B281" s="26"/>
      <c r="C281" s="135"/>
      <c r="D281" s="136"/>
      <c r="E281" s="137"/>
    </row>
    <row r="282" spans="1:5" ht="21.75">
      <c r="A282" s="134"/>
      <c r="B282" s="26"/>
      <c r="C282" s="135"/>
      <c r="D282" s="136"/>
      <c r="E282" s="137"/>
    </row>
    <row r="283" spans="1:5" ht="21.75">
      <c r="A283" s="134"/>
      <c r="B283" s="26"/>
      <c r="C283" s="135"/>
      <c r="D283" s="136"/>
      <c r="E283" s="137"/>
    </row>
    <row r="284" spans="1:5" ht="21.75">
      <c r="A284" s="134"/>
      <c r="B284" s="26"/>
      <c r="C284" s="135"/>
      <c r="D284" s="136"/>
      <c r="E284" s="137"/>
    </row>
    <row r="285" spans="1:5" ht="21.75">
      <c r="A285" s="134"/>
      <c r="B285" s="26"/>
      <c r="C285" s="135"/>
      <c r="D285" s="136"/>
      <c r="E285" s="137"/>
    </row>
    <row r="286" spans="1:5" ht="21.75">
      <c r="A286" s="134"/>
      <c r="B286" s="26"/>
      <c r="C286" s="135"/>
      <c r="D286" s="136"/>
      <c r="E286" s="137"/>
    </row>
    <row r="287" spans="1:5" ht="21.75">
      <c r="A287" s="134"/>
      <c r="B287" s="26"/>
      <c r="C287" s="135"/>
      <c r="D287" s="136"/>
      <c r="E287" s="137"/>
    </row>
    <row r="288" spans="1:5" ht="21.75">
      <c r="A288" s="134"/>
      <c r="B288" s="26"/>
      <c r="C288" s="135"/>
      <c r="D288" s="136"/>
      <c r="E288" s="137"/>
    </row>
    <row r="289" spans="1:5" ht="21.75">
      <c r="A289" s="134"/>
      <c r="B289" s="26"/>
      <c r="C289" s="135"/>
      <c r="D289" s="136"/>
      <c r="E289" s="137"/>
    </row>
    <row r="290" spans="1:5" ht="21.75">
      <c r="A290" s="134"/>
      <c r="B290" s="26"/>
      <c r="C290" s="135"/>
      <c r="D290" s="136"/>
      <c r="E290" s="137"/>
    </row>
    <row r="291" spans="1:5" ht="21.75">
      <c r="A291" s="134"/>
      <c r="B291" s="26"/>
      <c r="C291" s="135"/>
      <c r="D291" s="136"/>
      <c r="E291" s="137"/>
    </row>
    <row r="292" spans="1:5" ht="21.75">
      <c r="A292" s="134"/>
      <c r="B292" s="26"/>
      <c r="C292" s="135"/>
      <c r="D292" s="136"/>
      <c r="E292" s="137"/>
    </row>
    <row r="293" spans="1:5" ht="21.75">
      <c r="A293" s="134"/>
      <c r="B293" s="26"/>
      <c r="C293" s="135"/>
      <c r="D293" s="136"/>
      <c r="E293" s="137"/>
    </row>
    <row r="294" spans="1:5" ht="21.75">
      <c r="A294" s="134"/>
      <c r="B294" s="26"/>
      <c r="C294" s="135"/>
      <c r="D294" s="136"/>
      <c r="E294" s="137"/>
    </row>
    <row r="295" spans="1:5" ht="21.75">
      <c r="A295" s="134"/>
      <c r="B295" s="26"/>
      <c r="C295" s="135"/>
      <c r="D295" s="136"/>
      <c r="E295" s="137"/>
    </row>
    <row r="296" spans="1:5" ht="21.75">
      <c r="A296" s="134"/>
      <c r="B296" s="26"/>
      <c r="C296" s="135"/>
      <c r="D296" s="136"/>
      <c r="E296" s="137"/>
    </row>
    <row r="297" spans="1:5" ht="21.75">
      <c r="A297" s="134"/>
      <c r="B297" s="26"/>
      <c r="C297" s="135"/>
      <c r="D297" s="136"/>
      <c r="E297" s="137"/>
    </row>
    <row r="298" spans="1:5" ht="21.75">
      <c r="A298" s="134"/>
      <c r="B298" s="26"/>
      <c r="C298" s="135"/>
      <c r="D298" s="136"/>
      <c r="E298" s="137"/>
    </row>
    <row r="299" spans="1:5" ht="21.75">
      <c r="A299" s="134"/>
      <c r="B299" s="26"/>
      <c r="C299" s="135"/>
      <c r="D299" s="136"/>
      <c r="E299" s="137"/>
    </row>
    <row r="300" spans="1:5" ht="21.75">
      <c r="A300" s="134"/>
      <c r="B300" s="26"/>
      <c r="C300" s="135"/>
      <c r="D300" s="136"/>
      <c r="E300" s="137"/>
    </row>
    <row r="301" spans="1:5" ht="21.75">
      <c r="A301" s="134"/>
      <c r="B301" s="26"/>
      <c r="C301" s="135"/>
      <c r="D301" s="136"/>
      <c r="E301" s="137"/>
    </row>
    <row r="302" spans="1:5" ht="21.75">
      <c r="A302" s="134"/>
      <c r="B302" s="26"/>
      <c r="C302" s="135"/>
      <c r="D302" s="136"/>
      <c r="E302" s="137"/>
    </row>
    <row r="303" spans="1:5" ht="21.75">
      <c r="A303" s="134"/>
      <c r="B303" s="26"/>
      <c r="C303" s="135"/>
      <c r="D303" s="136"/>
      <c r="E303" s="137"/>
    </row>
    <row r="304" spans="1:5" ht="21.75">
      <c r="A304" s="134"/>
      <c r="B304" s="26"/>
      <c r="C304" s="135"/>
      <c r="D304" s="136"/>
      <c r="E304" s="137"/>
    </row>
    <row r="305" spans="1:5" ht="21.75">
      <c r="A305" s="134"/>
      <c r="B305" s="26"/>
      <c r="C305" s="135"/>
      <c r="D305" s="136"/>
      <c r="E305" s="137"/>
    </row>
    <row r="306" spans="1:5" ht="21.75">
      <c r="A306" s="134"/>
      <c r="B306" s="26"/>
      <c r="C306" s="135"/>
      <c r="D306" s="136"/>
      <c r="E306" s="137"/>
    </row>
    <row r="307" spans="1:5" ht="21.75">
      <c r="A307" s="134"/>
      <c r="B307" s="26"/>
      <c r="C307" s="135"/>
      <c r="D307" s="136"/>
      <c r="E307" s="137"/>
    </row>
    <row r="308" spans="1:5" ht="21.75">
      <c r="A308" s="134"/>
      <c r="B308" s="26"/>
      <c r="C308" s="135"/>
      <c r="D308" s="136"/>
      <c r="E308" s="137"/>
    </row>
    <row r="309" spans="1:5" ht="21.75">
      <c r="A309" s="134"/>
      <c r="B309" s="26"/>
      <c r="C309" s="135"/>
      <c r="D309" s="136"/>
      <c r="E309" s="137"/>
    </row>
    <row r="310" spans="1:5" ht="21.75">
      <c r="A310" s="134"/>
      <c r="B310" s="26"/>
      <c r="C310" s="135"/>
      <c r="D310" s="136"/>
      <c r="E310" s="137"/>
    </row>
    <row r="311" spans="1:5" ht="21.75">
      <c r="A311" s="134"/>
      <c r="B311" s="26"/>
      <c r="C311" s="135"/>
      <c r="D311" s="136"/>
      <c r="E311" s="137"/>
    </row>
    <row r="312" spans="1:5" ht="21.75">
      <c r="A312" s="134"/>
      <c r="B312" s="26"/>
      <c r="C312" s="135"/>
      <c r="D312" s="136"/>
      <c r="E312" s="137"/>
    </row>
    <row r="313" spans="1:5" ht="21.75">
      <c r="A313" s="134"/>
      <c r="B313" s="26"/>
      <c r="C313" s="135"/>
      <c r="D313" s="136"/>
      <c r="E313" s="137"/>
    </row>
    <row r="314" spans="1:5" ht="21.75">
      <c r="A314" s="134"/>
      <c r="B314" s="26"/>
      <c r="C314" s="135"/>
      <c r="D314" s="136"/>
      <c r="E314" s="137"/>
    </row>
    <row r="315" spans="1:5" ht="21.75">
      <c r="A315" s="134"/>
      <c r="B315" s="26"/>
      <c r="C315" s="135"/>
      <c r="D315" s="136"/>
      <c r="E315" s="137"/>
    </row>
    <row r="316" spans="1:5" ht="21.75">
      <c r="A316" s="134"/>
      <c r="B316" s="26"/>
      <c r="C316" s="135"/>
      <c r="D316" s="136"/>
      <c r="E316" s="137"/>
    </row>
    <row r="317" spans="1:5" ht="21.75">
      <c r="A317" s="134"/>
      <c r="B317" s="26"/>
      <c r="C317" s="135"/>
      <c r="D317" s="136"/>
      <c r="E317" s="137"/>
    </row>
    <row r="318" spans="1:5" ht="21.75">
      <c r="A318" s="134"/>
      <c r="B318" s="26"/>
      <c r="C318" s="135"/>
      <c r="D318" s="136"/>
      <c r="E318" s="137"/>
    </row>
    <row r="319" spans="1:5" ht="21.75">
      <c r="A319" s="134"/>
      <c r="B319" s="26"/>
      <c r="C319" s="135"/>
      <c r="D319" s="136"/>
      <c r="E319" s="137"/>
    </row>
    <row r="320" spans="1:5" ht="21.75">
      <c r="A320" s="134"/>
      <c r="B320" s="26"/>
      <c r="C320" s="135"/>
      <c r="D320" s="136"/>
      <c r="E320" s="137"/>
    </row>
    <row r="321" spans="1:5" ht="21.75">
      <c r="A321" s="134"/>
      <c r="B321" s="26"/>
      <c r="C321" s="135"/>
      <c r="D321" s="136"/>
      <c r="E321" s="137"/>
    </row>
    <row r="322" spans="1:5" ht="21.75">
      <c r="A322" s="134"/>
      <c r="B322" s="26"/>
      <c r="C322" s="135"/>
      <c r="D322" s="136"/>
      <c r="E322" s="137"/>
    </row>
    <row r="323" spans="1:5" ht="21.75">
      <c r="A323" s="134"/>
      <c r="B323" s="26"/>
      <c r="C323" s="135"/>
      <c r="D323" s="136"/>
      <c r="E323" s="137"/>
    </row>
    <row r="324" spans="1:5" ht="21.75">
      <c r="A324" s="134"/>
      <c r="B324" s="26"/>
      <c r="C324" s="135"/>
      <c r="D324" s="136"/>
      <c r="E324" s="137"/>
    </row>
    <row r="325" spans="1:5" ht="21.75">
      <c r="A325" s="134"/>
      <c r="B325" s="26"/>
      <c r="C325" s="135"/>
      <c r="D325" s="136"/>
      <c r="E325" s="137"/>
    </row>
    <row r="326" spans="1:5" ht="21.75">
      <c r="A326" s="134"/>
      <c r="B326" s="26"/>
      <c r="C326" s="135"/>
      <c r="D326" s="136"/>
      <c r="E326" s="137"/>
    </row>
    <row r="327" spans="1:5" ht="21.75">
      <c r="A327" s="134"/>
      <c r="B327" s="26"/>
      <c r="C327" s="135"/>
      <c r="D327" s="136"/>
      <c r="E327" s="137"/>
    </row>
    <row r="328" spans="1:5" ht="21.75">
      <c r="A328" s="134"/>
      <c r="B328" s="26"/>
      <c r="C328" s="135"/>
      <c r="D328" s="136"/>
      <c r="E328" s="137"/>
    </row>
    <row r="329" spans="1:5" ht="21.75">
      <c r="A329" s="134"/>
      <c r="B329" s="26"/>
      <c r="C329" s="135"/>
      <c r="D329" s="136"/>
      <c r="E329" s="137"/>
    </row>
    <row r="330" spans="1:5" ht="21.75">
      <c r="A330" s="134"/>
      <c r="B330" s="26"/>
      <c r="C330" s="135"/>
      <c r="D330" s="136"/>
      <c r="E330" s="137"/>
    </row>
    <row r="331" spans="1:5" ht="21.75">
      <c r="A331" s="134"/>
      <c r="B331" s="26"/>
      <c r="C331" s="135"/>
      <c r="D331" s="136"/>
      <c r="E331" s="137"/>
    </row>
    <row r="332" spans="1:5" ht="21.75">
      <c r="A332" s="134"/>
      <c r="B332" s="26"/>
      <c r="C332" s="135"/>
      <c r="D332" s="136"/>
      <c r="E332" s="137"/>
    </row>
    <row r="333" spans="1:5" ht="21.75">
      <c r="A333" s="134"/>
      <c r="B333" s="26"/>
      <c r="C333" s="135"/>
      <c r="D333" s="136"/>
      <c r="E333" s="137"/>
    </row>
    <row r="334" spans="1:5" ht="21.75">
      <c r="A334" s="134"/>
      <c r="B334" s="26"/>
      <c r="C334" s="135"/>
      <c r="D334" s="136"/>
      <c r="E334" s="137"/>
    </row>
    <row r="335" spans="1:5" ht="21.75">
      <c r="A335" s="134"/>
      <c r="B335" s="26"/>
      <c r="C335" s="135"/>
      <c r="D335" s="136"/>
      <c r="E335" s="137"/>
    </row>
    <row r="336" spans="1:5" ht="21.75">
      <c r="A336" s="134"/>
      <c r="B336" s="26"/>
      <c r="C336" s="135"/>
      <c r="D336" s="136"/>
      <c r="E336" s="137"/>
    </row>
    <row r="337" spans="1:5" ht="21.75">
      <c r="A337" s="134"/>
      <c r="B337" s="26"/>
      <c r="C337" s="135"/>
      <c r="D337" s="136"/>
      <c r="E337" s="137"/>
    </row>
    <row r="338" spans="1:5" ht="21.75">
      <c r="A338" s="134"/>
      <c r="B338" s="26"/>
      <c r="C338" s="135"/>
      <c r="D338" s="136"/>
      <c r="E338" s="137"/>
    </row>
    <row r="339" spans="1:5" ht="21.75">
      <c r="A339" s="134"/>
      <c r="B339" s="26"/>
      <c r="C339" s="135"/>
      <c r="D339" s="136"/>
      <c r="E339" s="137"/>
    </row>
    <row r="340" spans="1:5" ht="21.75">
      <c r="A340" s="134"/>
      <c r="B340" s="26"/>
      <c r="C340" s="135"/>
      <c r="D340" s="136"/>
      <c r="E340" s="137"/>
    </row>
    <row r="341" spans="1:5" ht="21.75">
      <c r="A341" s="134"/>
      <c r="B341" s="26"/>
      <c r="C341" s="135"/>
      <c r="D341" s="136"/>
      <c r="E341" s="137"/>
    </row>
    <row r="342" spans="1:5" ht="21.75">
      <c r="A342" s="134"/>
      <c r="B342" s="26"/>
      <c r="C342" s="135"/>
      <c r="D342" s="136"/>
      <c r="E342" s="137"/>
    </row>
    <row r="343" spans="1:5" ht="21.75">
      <c r="A343" s="134"/>
      <c r="B343" s="26"/>
      <c r="C343" s="135"/>
      <c r="D343" s="136"/>
      <c r="E343" s="137"/>
    </row>
    <row r="344" spans="1:5" ht="21.75">
      <c r="A344" s="134"/>
      <c r="B344" s="26"/>
      <c r="C344" s="135"/>
      <c r="D344" s="136"/>
      <c r="E344" s="137"/>
    </row>
    <row r="345" spans="1:5" ht="21.75">
      <c r="A345" s="134"/>
      <c r="B345" s="26"/>
      <c r="C345" s="135"/>
      <c r="D345" s="136"/>
      <c r="E345" s="137"/>
    </row>
    <row r="346" spans="1:5" ht="21.75">
      <c r="A346" s="134"/>
      <c r="B346" s="26"/>
      <c r="C346" s="135"/>
      <c r="D346" s="136"/>
      <c r="E346" s="137"/>
    </row>
    <row r="347" spans="1:5" ht="21.75">
      <c r="A347" s="134"/>
      <c r="B347" s="26"/>
      <c r="C347" s="135"/>
      <c r="D347" s="136"/>
      <c r="E347" s="137"/>
    </row>
    <row r="348" spans="1:5" ht="21.75">
      <c r="A348" s="134"/>
      <c r="B348" s="26"/>
      <c r="C348" s="135"/>
      <c r="D348" s="136"/>
      <c r="E348" s="137"/>
    </row>
    <row r="349" spans="1:5" ht="21.75">
      <c r="A349" s="134"/>
      <c r="B349" s="26"/>
      <c r="C349" s="135"/>
      <c r="D349" s="136"/>
      <c r="E349" s="137"/>
    </row>
    <row r="350" spans="1:5" ht="21.75">
      <c r="A350" s="134"/>
      <c r="B350" s="26"/>
      <c r="C350" s="135"/>
      <c r="D350" s="136"/>
      <c r="E350" s="137"/>
    </row>
    <row r="351" spans="1:5" ht="21.75">
      <c r="A351" s="134"/>
      <c r="B351" s="26"/>
      <c r="C351" s="135"/>
      <c r="D351" s="136"/>
      <c r="E351" s="137"/>
    </row>
    <row r="352" spans="1:5" ht="21.75">
      <c r="A352" s="134"/>
      <c r="B352" s="26"/>
      <c r="C352" s="135"/>
      <c r="D352" s="136"/>
      <c r="E352" s="137"/>
    </row>
    <row r="353" spans="1:5" ht="21.75">
      <c r="A353" s="134"/>
      <c r="B353" s="26"/>
      <c r="C353" s="135"/>
      <c r="D353" s="136"/>
      <c r="E353" s="137"/>
    </row>
    <row r="354" spans="1:5" ht="21.75">
      <c r="A354" s="134"/>
      <c r="B354" s="26"/>
      <c r="C354" s="135"/>
      <c r="D354" s="136"/>
      <c r="E354" s="137"/>
    </row>
    <row r="355" spans="1:5" ht="21.75">
      <c r="A355" s="134"/>
      <c r="B355" s="26"/>
      <c r="C355" s="135"/>
      <c r="D355" s="136"/>
      <c r="E355" s="137"/>
    </row>
    <row r="356" spans="1:5" ht="21.75">
      <c r="A356" s="134"/>
      <c r="B356" s="26"/>
      <c r="C356" s="135"/>
      <c r="D356" s="136"/>
      <c r="E356" s="137"/>
    </row>
    <row r="357" spans="1:5" ht="21.75">
      <c r="A357" s="134"/>
      <c r="B357" s="26"/>
      <c r="C357" s="135"/>
      <c r="D357" s="136"/>
      <c r="E357" s="137"/>
    </row>
    <row r="358" spans="1:5" ht="21.75">
      <c r="A358" s="134"/>
      <c r="B358" s="26"/>
      <c r="C358" s="135"/>
      <c r="D358" s="136"/>
      <c r="E358" s="137"/>
    </row>
    <row r="359" spans="1:5" ht="21.75">
      <c r="A359" s="134"/>
      <c r="B359" s="26"/>
      <c r="C359" s="135"/>
      <c r="D359" s="136"/>
      <c r="E359" s="137"/>
    </row>
    <row r="360" spans="1:5" ht="21.75">
      <c r="A360" s="134"/>
      <c r="B360" s="26"/>
      <c r="C360" s="135"/>
      <c r="D360" s="136"/>
      <c r="E360" s="137"/>
    </row>
    <row r="361" spans="1:5" ht="21.75">
      <c r="A361" s="134"/>
      <c r="B361" s="26"/>
      <c r="C361" s="135"/>
      <c r="D361" s="136"/>
      <c r="E361" s="137"/>
    </row>
    <row r="362" spans="1:5" ht="21.75">
      <c r="A362" s="134"/>
      <c r="B362" s="26"/>
      <c r="C362" s="135"/>
      <c r="D362" s="136"/>
      <c r="E362" s="137"/>
    </row>
    <row r="363" spans="1:5" ht="21.75">
      <c r="A363" s="134"/>
      <c r="B363" s="26"/>
      <c r="C363" s="135"/>
      <c r="D363" s="136"/>
      <c r="E363" s="137"/>
    </row>
    <row r="364" spans="1:5" ht="21.75">
      <c r="A364" s="134"/>
      <c r="B364" s="26"/>
      <c r="C364" s="135"/>
      <c r="D364" s="136"/>
      <c r="E364" s="137"/>
    </row>
    <row r="365" spans="1:5" ht="21.75">
      <c r="A365" s="134"/>
      <c r="B365" s="26"/>
      <c r="C365" s="135"/>
      <c r="D365" s="136"/>
      <c r="E365" s="137"/>
    </row>
    <row r="366" spans="1:5" ht="21.75">
      <c r="A366" s="134"/>
      <c r="B366" s="26"/>
      <c r="C366" s="135"/>
      <c r="D366" s="136"/>
      <c r="E366" s="137"/>
    </row>
    <row r="367" spans="1:5" ht="21.75">
      <c r="A367" s="134"/>
      <c r="B367" s="26"/>
      <c r="C367" s="135"/>
      <c r="D367" s="136"/>
      <c r="E367" s="137"/>
    </row>
    <row r="368" spans="1:5" ht="21.75">
      <c r="A368" s="134"/>
      <c r="B368" s="26"/>
      <c r="C368" s="135"/>
      <c r="D368" s="136"/>
      <c r="E368" s="137"/>
    </row>
    <row r="369" spans="1:5" ht="21.75">
      <c r="A369" s="134"/>
      <c r="B369" s="26"/>
      <c r="C369" s="135"/>
      <c r="D369" s="136"/>
      <c r="E369" s="137"/>
    </row>
    <row r="370" spans="1:5" ht="21.75">
      <c r="A370" s="134"/>
      <c r="B370" s="26"/>
      <c r="C370" s="135"/>
      <c r="D370" s="136"/>
      <c r="E370" s="137"/>
    </row>
    <row r="371" spans="1:5" ht="21.75">
      <c r="A371" s="134"/>
      <c r="B371" s="26"/>
      <c r="C371" s="135"/>
      <c r="D371" s="136"/>
      <c r="E371" s="137"/>
    </row>
    <row r="372" spans="1:5" ht="21.75">
      <c r="A372" s="134"/>
      <c r="B372" s="26"/>
      <c r="C372" s="135"/>
      <c r="D372" s="136"/>
      <c r="E372" s="137"/>
    </row>
    <row r="373" spans="1:5" ht="21.75">
      <c r="A373" s="134"/>
      <c r="B373" s="26"/>
      <c r="C373" s="135"/>
      <c r="D373" s="136"/>
      <c r="E373" s="137"/>
    </row>
    <row r="374" spans="1:5" ht="21.75">
      <c r="A374" s="134"/>
      <c r="B374" s="26"/>
      <c r="C374" s="135"/>
      <c r="D374" s="136"/>
      <c r="E374" s="137"/>
    </row>
    <row r="375" spans="1:5" ht="21.75">
      <c r="A375" s="134"/>
      <c r="B375" s="26"/>
      <c r="C375" s="135"/>
      <c r="D375" s="136"/>
      <c r="E375" s="137"/>
    </row>
    <row r="376" spans="1:5" ht="21.75">
      <c r="A376" s="134"/>
      <c r="B376" s="26"/>
      <c r="C376" s="135"/>
      <c r="D376" s="136"/>
      <c r="E376" s="137"/>
    </row>
    <row r="377" spans="1:5" ht="21.75">
      <c r="A377" s="134"/>
      <c r="B377" s="26"/>
      <c r="C377" s="135"/>
      <c r="D377" s="136"/>
      <c r="E377" s="137"/>
    </row>
    <row r="378" spans="1:5" ht="21.75">
      <c r="A378" s="134"/>
      <c r="B378" s="26"/>
      <c r="C378" s="135"/>
      <c r="D378" s="136"/>
      <c r="E378" s="137"/>
    </row>
    <row r="379" spans="1:5" ht="21.75">
      <c r="A379" s="134"/>
      <c r="B379" s="26"/>
      <c r="C379" s="135"/>
      <c r="D379" s="136"/>
      <c r="E379" s="137"/>
    </row>
    <row r="380" spans="1:5" ht="21.75">
      <c r="A380" s="134"/>
      <c r="B380" s="26"/>
      <c r="C380" s="135"/>
      <c r="D380" s="136"/>
      <c r="E380" s="137"/>
    </row>
    <row r="381" spans="1:5" ht="21.75">
      <c r="A381" s="134"/>
      <c r="B381" s="26"/>
      <c r="C381" s="135"/>
      <c r="D381" s="136"/>
      <c r="E381" s="137"/>
    </row>
    <row r="382" spans="1:5" ht="21.75">
      <c r="A382" s="134"/>
      <c r="B382" s="26"/>
      <c r="C382" s="135"/>
      <c r="D382" s="136"/>
      <c r="E382" s="137"/>
    </row>
    <row r="383" spans="1:5" ht="21.75">
      <c r="A383" s="134"/>
      <c r="B383" s="26"/>
      <c r="C383" s="135"/>
      <c r="D383" s="136"/>
      <c r="E383" s="137"/>
    </row>
    <row r="384" spans="1:5" ht="21.75">
      <c r="A384" s="134"/>
      <c r="B384" s="26"/>
      <c r="C384" s="135"/>
      <c r="D384" s="136"/>
      <c r="E384" s="137"/>
    </row>
    <row r="385" spans="1:5" ht="21.75">
      <c r="A385" s="134"/>
      <c r="B385" s="26"/>
      <c r="C385" s="135"/>
      <c r="D385" s="136"/>
      <c r="E385" s="137"/>
    </row>
    <row r="386" spans="1:5" ht="21.75">
      <c r="A386" s="134"/>
      <c r="B386" s="26"/>
      <c r="C386" s="135"/>
      <c r="D386" s="136"/>
      <c r="E386" s="137"/>
    </row>
    <row r="387" spans="1:5" ht="21.75">
      <c r="A387" s="134"/>
      <c r="B387" s="26"/>
      <c r="C387" s="135"/>
      <c r="D387" s="136"/>
      <c r="E387" s="137"/>
    </row>
    <row r="388" spans="1:5" ht="21.75">
      <c r="A388" s="134"/>
      <c r="B388" s="26"/>
      <c r="C388" s="135"/>
      <c r="D388" s="136"/>
      <c r="E388" s="137"/>
    </row>
    <row r="389" spans="1:5" ht="21.75">
      <c r="A389" s="134"/>
      <c r="B389" s="26"/>
      <c r="C389" s="135"/>
      <c r="D389" s="136"/>
      <c r="E389" s="137"/>
    </row>
    <row r="390" spans="1:5" ht="21.75">
      <c r="A390" s="134"/>
      <c r="B390" s="26"/>
      <c r="C390" s="135"/>
      <c r="D390" s="136"/>
      <c r="E390" s="137"/>
    </row>
    <row r="391" spans="1:5" ht="21.75">
      <c r="A391" s="134"/>
      <c r="B391" s="26"/>
      <c r="C391" s="135"/>
      <c r="D391" s="136"/>
      <c r="E391" s="137"/>
    </row>
    <row r="392" spans="1:5" ht="21.75">
      <c r="A392" s="134"/>
      <c r="B392" s="26"/>
      <c r="C392" s="135"/>
      <c r="D392" s="136"/>
      <c r="E392" s="137"/>
    </row>
    <row r="393" spans="1:5" ht="21.75">
      <c r="A393" s="134"/>
      <c r="B393" s="26"/>
      <c r="C393" s="135"/>
      <c r="D393" s="136"/>
      <c r="E393" s="137"/>
    </row>
    <row r="394" spans="1:5" ht="21.75">
      <c r="A394" s="134"/>
      <c r="B394" s="26"/>
      <c r="C394" s="135"/>
      <c r="D394" s="136"/>
      <c r="E394" s="137"/>
    </row>
    <row r="395" spans="1:5" ht="21.75">
      <c r="A395" s="134"/>
      <c r="B395" s="26"/>
      <c r="C395" s="135"/>
      <c r="D395" s="136"/>
      <c r="E395" s="137"/>
    </row>
    <row r="396" spans="1:5" ht="21.75">
      <c r="A396" s="134"/>
      <c r="B396" s="26"/>
      <c r="C396" s="135"/>
      <c r="D396" s="136"/>
      <c r="E396" s="137"/>
    </row>
    <row r="397" spans="1:5" ht="21.75">
      <c r="A397" s="134"/>
      <c r="B397" s="26"/>
      <c r="C397" s="135"/>
      <c r="D397" s="136"/>
      <c r="E397" s="137"/>
    </row>
    <row r="398" spans="1:5" ht="21.75">
      <c r="A398" s="134"/>
      <c r="B398" s="26"/>
      <c r="C398" s="135"/>
      <c r="D398" s="136"/>
      <c r="E398" s="137"/>
    </row>
    <row r="399" spans="1:5" ht="21.75">
      <c r="A399" s="134"/>
      <c r="B399" s="26"/>
      <c r="C399" s="135"/>
      <c r="D399" s="136"/>
      <c r="E399" s="137"/>
    </row>
    <row r="400" spans="1:5" ht="21.75">
      <c r="A400" s="134"/>
      <c r="B400" s="26"/>
      <c r="C400" s="135"/>
      <c r="D400" s="136"/>
      <c r="E400" s="137"/>
    </row>
    <row r="401" spans="1:5" ht="21.75">
      <c r="A401" s="134"/>
      <c r="B401" s="26"/>
      <c r="C401" s="135"/>
      <c r="D401" s="136"/>
      <c r="E401" s="137"/>
    </row>
    <row r="402" spans="1:5" ht="21.75">
      <c r="A402" s="134"/>
      <c r="B402" s="26"/>
      <c r="C402" s="135"/>
      <c r="D402" s="136"/>
      <c r="E402" s="137"/>
    </row>
    <row r="403" spans="1:5" ht="21.75">
      <c r="A403" s="134"/>
      <c r="B403" s="26"/>
      <c r="C403" s="135"/>
      <c r="D403" s="136"/>
      <c r="E403" s="137"/>
    </row>
    <row r="404" spans="1:5" ht="21.75">
      <c r="A404" s="134"/>
      <c r="B404" s="26"/>
      <c r="C404" s="135"/>
      <c r="D404" s="136"/>
      <c r="E404" s="137"/>
    </row>
    <row r="405" spans="1:5" ht="21.75">
      <c r="A405" s="134"/>
      <c r="B405" s="26"/>
      <c r="C405" s="135"/>
      <c r="D405" s="136"/>
      <c r="E405" s="137"/>
    </row>
    <row r="406" spans="1:5" ht="21.75">
      <c r="A406" s="134"/>
      <c r="B406" s="26"/>
      <c r="C406" s="135"/>
      <c r="D406" s="136"/>
      <c r="E406" s="137"/>
    </row>
    <row r="407" spans="1:5" ht="21.75">
      <c r="A407" s="134"/>
      <c r="B407" s="26"/>
      <c r="C407" s="135"/>
      <c r="D407" s="136"/>
      <c r="E407" s="137"/>
    </row>
    <row r="408" spans="1:5" ht="21.75">
      <c r="A408" s="134"/>
      <c r="B408" s="26"/>
      <c r="C408" s="135"/>
      <c r="D408" s="136"/>
      <c r="E408" s="137"/>
    </row>
    <row r="409" spans="1:5" ht="21.75">
      <c r="A409" s="134"/>
      <c r="B409" s="26"/>
      <c r="C409" s="135"/>
      <c r="D409" s="136"/>
      <c r="E409" s="137"/>
    </row>
    <row r="410" spans="1:5" ht="21.75">
      <c r="A410" s="134"/>
      <c r="B410" s="26"/>
      <c r="C410" s="135"/>
      <c r="D410" s="136"/>
      <c r="E410" s="137"/>
    </row>
    <row r="411" spans="1:5" ht="21.75">
      <c r="A411" s="134"/>
      <c r="B411" s="26"/>
      <c r="C411" s="135"/>
      <c r="D411" s="136"/>
      <c r="E411" s="137"/>
    </row>
    <row r="412" spans="1:5" ht="21.75">
      <c r="A412" s="134"/>
      <c r="B412" s="26"/>
      <c r="C412" s="135"/>
      <c r="D412" s="136"/>
      <c r="E412" s="137"/>
    </row>
    <row r="413" spans="1:5" ht="21.75">
      <c r="A413" s="134"/>
      <c r="B413" s="26"/>
      <c r="C413" s="135"/>
      <c r="D413" s="136"/>
      <c r="E413" s="137"/>
    </row>
    <row r="414" spans="1:5" ht="21.75">
      <c r="A414" s="134"/>
      <c r="B414" s="26"/>
      <c r="C414" s="135"/>
      <c r="D414" s="136"/>
      <c r="E414" s="137"/>
    </row>
    <row r="415" spans="1:5" ht="21.75">
      <c r="A415" s="134"/>
      <c r="B415" s="26"/>
      <c r="C415" s="135"/>
      <c r="D415" s="136"/>
      <c r="E415" s="137"/>
    </row>
    <row r="416" spans="1:5" ht="21.75">
      <c r="A416" s="134"/>
      <c r="B416" s="26"/>
      <c r="C416" s="135"/>
      <c r="D416" s="136"/>
      <c r="E416" s="137"/>
    </row>
    <row r="417" spans="1:5" ht="21.75">
      <c r="A417" s="134"/>
      <c r="B417" s="26"/>
      <c r="C417" s="135"/>
      <c r="D417" s="136"/>
      <c r="E417" s="137"/>
    </row>
    <row r="418" spans="1:5" ht="21.75">
      <c r="A418" s="134"/>
      <c r="B418" s="26"/>
      <c r="C418" s="135"/>
      <c r="D418" s="136"/>
      <c r="E418" s="137"/>
    </row>
    <row r="419" spans="1:5" ht="21.75">
      <c r="A419" s="134"/>
      <c r="B419" s="26"/>
      <c r="C419" s="135"/>
      <c r="D419" s="136"/>
      <c r="E419" s="137"/>
    </row>
    <row r="420" spans="1:5" ht="21.75">
      <c r="A420" s="134"/>
      <c r="B420" s="26"/>
      <c r="C420" s="135"/>
      <c r="D420" s="136"/>
      <c r="E420" s="137"/>
    </row>
    <row r="421" spans="1:5" ht="21.75">
      <c r="A421" s="134"/>
      <c r="B421" s="26"/>
      <c r="C421" s="135"/>
      <c r="D421" s="136"/>
      <c r="E421" s="137"/>
    </row>
    <row r="422" spans="1:5" ht="21.75">
      <c r="A422" s="134"/>
      <c r="B422" s="26"/>
      <c r="C422" s="135"/>
      <c r="D422" s="136"/>
      <c r="E422" s="137"/>
    </row>
    <row r="423" spans="1:5" ht="21.75">
      <c r="A423" s="134"/>
      <c r="B423" s="26"/>
      <c r="C423" s="135"/>
      <c r="D423" s="136"/>
      <c r="E423" s="137"/>
    </row>
    <row r="424" spans="1:5" ht="21.75">
      <c r="A424" s="134"/>
      <c r="B424" s="26"/>
      <c r="C424" s="135"/>
      <c r="D424" s="136"/>
      <c r="E424" s="137"/>
    </row>
    <row r="425" spans="1:5" ht="21.75">
      <c r="A425" s="134"/>
      <c r="B425" s="26"/>
      <c r="C425" s="135"/>
      <c r="D425" s="136"/>
      <c r="E425" s="137"/>
    </row>
    <row r="426" spans="1:5" ht="21.75">
      <c r="A426" s="134"/>
      <c r="B426" s="26"/>
      <c r="C426" s="135"/>
      <c r="D426" s="136"/>
      <c r="E426" s="137"/>
    </row>
    <row r="427" spans="1:5" ht="21.75">
      <c r="A427" s="134"/>
      <c r="B427" s="26"/>
      <c r="C427" s="135"/>
      <c r="D427" s="136"/>
      <c r="E427" s="137"/>
    </row>
    <row r="428" spans="1:5" ht="21.75">
      <c r="A428" s="134"/>
      <c r="B428" s="26"/>
      <c r="C428" s="135"/>
      <c r="D428" s="136"/>
      <c r="E428" s="137"/>
    </row>
    <row r="429" spans="1:5" ht="21.75">
      <c r="A429" s="134"/>
      <c r="B429" s="26"/>
      <c r="C429" s="135"/>
      <c r="D429" s="136"/>
      <c r="E429" s="137"/>
    </row>
    <row r="430" spans="1:5" ht="21.75">
      <c r="A430" s="134"/>
      <c r="B430" s="26"/>
      <c r="C430" s="135"/>
      <c r="D430" s="136"/>
      <c r="E430" s="137"/>
    </row>
    <row r="431" spans="1:5" ht="21.75">
      <c r="A431" s="134"/>
      <c r="B431" s="26"/>
      <c r="C431" s="135"/>
      <c r="D431" s="136"/>
      <c r="E431" s="137"/>
    </row>
    <row r="432" spans="1:5" ht="21.75">
      <c r="A432" s="134"/>
      <c r="B432" s="26"/>
      <c r="C432" s="135"/>
      <c r="D432" s="136"/>
      <c r="E432" s="137"/>
    </row>
    <row r="433" spans="1:5" ht="21.75">
      <c r="A433" s="134"/>
      <c r="B433" s="26"/>
      <c r="C433" s="135"/>
      <c r="D433" s="136"/>
      <c r="E433" s="137"/>
    </row>
    <row r="434" spans="1:5" ht="21.75">
      <c r="A434" s="134"/>
      <c r="B434" s="26"/>
      <c r="C434" s="135"/>
      <c r="D434" s="136"/>
      <c r="E434" s="137"/>
    </row>
    <row r="435" spans="1:5" ht="21.75">
      <c r="A435" s="134"/>
      <c r="B435" s="26"/>
      <c r="C435" s="135"/>
      <c r="D435" s="136"/>
      <c r="E435" s="137"/>
    </row>
    <row r="436" spans="1:5" ht="21.75">
      <c r="A436" s="134"/>
      <c r="B436" s="26"/>
      <c r="C436" s="135"/>
      <c r="D436" s="136"/>
      <c r="E436" s="137"/>
    </row>
    <row r="437" spans="1:5" ht="21.75">
      <c r="A437" s="134"/>
      <c r="B437" s="26"/>
      <c r="C437" s="135"/>
      <c r="D437" s="136"/>
      <c r="E437" s="137"/>
    </row>
    <row r="438" spans="1:5" ht="21.75">
      <c r="A438" s="134"/>
      <c r="B438" s="26"/>
      <c r="C438" s="135"/>
      <c r="D438" s="136"/>
      <c r="E438" s="137"/>
    </row>
    <row r="439" spans="1:5" ht="21.75">
      <c r="A439" s="134"/>
      <c r="B439" s="26"/>
      <c r="C439" s="135"/>
      <c r="D439" s="136"/>
      <c r="E439" s="137"/>
    </row>
    <row r="440" spans="1:5" ht="21.75">
      <c r="A440" s="134"/>
      <c r="B440" s="26"/>
      <c r="C440" s="135"/>
      <c r="D440" s="136"/>
      <c r="E440" s="137"/>
    </row>
    <row r="441" spans="1:5" ht="21.75">
      <c r="A441" s="134"/>
      <c r="B441" s="26"/>
      <c r="C441" s="135"/>
      <c r="D441" s="136"/>
      <c r="E441" s="137"/>
    </row>
    <row r="442" spans="1:5" ht="21.75">
      <c r="A442" s="134"/>
      <c r="B442" s="26"/>
      <c r="C442" s="135"/>
      <c r="D442" s="136"/>
      <c r="E442" s="137"/>
    </row>
    <row r="443" spans="1:5" ht="21.75">
      <c r="A443" s="134"/>
      <c r="B443" s="26"/>
      <c r="C443" s="135"/>
      <c r="D443" s="136"/>
      <c r="E443" s="137"/>
    </row>
    <row r="444" spans="1:5" ht="21.75">
      <c r="A444" s="134"/>
      <c r="B444" s="26"/>
      <c r="C444" s="135"/>
      <c r="D444" s="136"/>
      <c r="E444" s="137"/>
    </row>
    <row r="445" spans="1:5" ht="21.75">
      <c r="A445" s="134"/>
      <c r="B445" s="26"/>
      <c r="C445" s="135"/>
      <c r="D445" s="136"/>
      <c r="E445" s="137"/>
    </row>
    <row r="446" spans="1:5" ht="21.75">
      <c r="A446" s="134"/>
      <c r="B446" s="26"/>
      <c r="C446" s="135"/>
      <c r="D446" s="136"/>
      <c r="E446" s="137"/>
    </row>
    <row r="447" spans="1:5" ht="21.75">
      <c r="A447" s="134"/>
      <c r="B447" s="26"/>
      <c r="C447" s="135"/>
      <c r="D447" s="136"/>
      <c r="E447" s="137"/>
    </row>
    <row r="448" spans="1:5" ht="21.75">
      <c r="A448" s="134"/>
      <c r="B448" s="26"/>
      <c r="C448" s="135"/>
      <c r="D448" s="136"/>
      <c r="E448" s="137"/>
    </row>
    <row r="449" spans="1:5" ht="21.75">
      <c r="A449" s="134"/>
      <c r="B449" s="26"/>
      <c r="C449" s="135"/>
      <c r="D449" s="136"/>
      <c r="E449" s="137"/>
    </row>
    <row r="450" spans="1:5" ht="21.75">
      <c r="A450" s="134"/>
      <c r="B450" s="26"/>
      <c r="C450" s="135"/>
      <c r="D450" s="136"/>
      <c r="E450" s="137"/>
    </row>
    <row r="451" spans="1:5" ht="21.75">
      <c r="A451" s="134"/>
      <c r="B451" s="26"/>
      <c r="C451" s="135"/>
      <c r="D451" s="136"/>
      <c r="E451" s="137"/>
    </row>
    <row r="452" spans="1:5" ht="21.75">
      <c r="A452" s="134"/>
      <c r="B452" s="26"/>
      <c r="C452" s="135"/>
      <c r="D452" s="136"/>
      <c r="E452" s="137"/>
    </row>
    <row r="453" spans="1:5" ht="21.75">
      <c r="A453" s="134"/>
      <c r="B453" s="26"/>
      <c r="C453" s="135"/>
      <c r="D453" s="136"/>
      <c r="E453" s="137"/>
    </row>
    <row r="454" spans="1:5" ht="21.75">
      <c r="A454" s="134"/>
      <c r="B454" s="26"/>
      <c r="C454" s="135"/>
      <c r="D454" s="136"/>
      <c r="E454" s="137"/>
    </row>
    <row r="455" spans="1:5" ht="21.75">
      <c r="A455" s="134"/>
      <c r="B455" s="26"/>
      <c r="C455" s="135"/>
      <c r="D455" s="136"/>
      <c r="E455" s="137"/>
    </row>
    <row r="456" spans="1:5" ht="21.75">
      <c r="A456" s="134"/>
      <c r="B456" s="26"/>
      <c r="C456" s="135"/>
      <c r="D456" s="136"/>
      <c r="E456" s="137"/>
    </row>
    <row r="457" spans="1:5" ht="21.75">
      <c r="A457" s="134"/>
      <c r="B457" s="26"/>
      <c r="C457" s="135"/>
      <c r="D457" s="136"/>
      <c r="E457" s="137"/>
    </row>
    <row r="458" spans="1:5" ht="21.75">
      <c r="A458" s="134"/>
      <c r="B458" s="26"/>
      <c r="C458" s="135"/>
      <c r="D458" s="136"/>
      <c r="E458" s="137"/>
    </row>
    <row r="459" spans="1:5" ht="21.75">
      <c r="A459" s="134"/>
      <c r="B459" s="26"/>
      <c r="C459" s="135"/>
      <c r="D459" s="136"/>
      <c r="E459" s="137"/>
    </row>
    <row r="460" spans="1:5" ht="21.75">
      <c r="A460" s="134"/>
      <c r="B460" s="26"/>
      <c r="C460" s="135"/>
      <c r="D460" s="136"/>
      <c r="E460" s="137"/>
    </row>
    <row r="461" spans="1:5" ht="21.75">
      <c r="A461" s="134"/>
      <c r="B461" s="26"/>
      <c r="C461" s="135"/>
      <c r="D461" s="136"/>
      <c r="E461" s="137"/>
    </row>
    <row r="462" spans="1:5" ht="21.75">
      <c r="A462" s="134"/>
      <c r="B462" s="26"/>
      <c r="C462" s="135"/>
      <c r="D462" s="136"/>
      <c r="E462" s="137"/>
    </row>
    <row r="463" spans="1:5" ht="21.75">
      <c r="A463" s="134"/>
      <c r="B463" s="26"/>
      <c r="C463" s="135"/>
      <c r="D463" s="136"/>
      <c r="E463" s="137"/>
    </row>
    <row r="464" spans="1:5" ht="21.75">
      <c r="A464" s="134"/>
      <c r="B464" s="26"/>
      <c r="C464" s="135"/>
      <c r="D464" s="136"/>
      <c r="E464" s="137"/>
    </row>
    <row r="465" spans="1:5" ht="21.75">
      <c r="A465" s="134"/>
      <c r="B465" s="26"/>
      <c r="C465" s="135"/>
      <c r="D465" s="136"/>
      <c r="E465" s="137"/>
    </row>
    <row r="466" spans="1:5" ht="21.75">
      <c r="A466" s="134"/>
      <c r="B466" s="26"/>
      <c r="C466" s="135"/>
      <c r="D466" s="136"/>
      <c r="E466" s="137"/>
    </row>
    <row r="467" spans="1:5" ht="21.75">
      <c r="A467" s="134"/>
      <c r="B467" s="26"/>
      <c r="C467" s="135"/>
      <c r="D467" s="136"/>
      <c r="E467" s="137"/>
    </row>
    <row r="468" spans="1:5" ht="21.75">
      <c r="A468" s="134"/>
      <c r="B468" s="26"/>
      <c r="C468" s="135"/>
      <c r="D468" s="136"/>
      <c r="E468" s="137"/>
    </row>
    <row r="469" spans="1:5" ht="21.75">
      <c r="A469" s="134"/>
      <c r="B469" s="26"/>
      <c r="C469" s="135"/>
      <c r="D469" s="136"/>
      <c r="E469" s="137"/>
    </row>
    <row r="470" spans="1:5" ht="21.75">
      <c r="A470" s="134"/>
      <c r="B470" s="26"/>
      <c r="C470" s="135"/>
      <c r="D470" s="136"/>
      <c r="E470" s="137"/>
    </row>
    <row r="471" spans="1:5" ht="21.75">
      <c r="A471" s="134"/>
      <c r="B471" s="26"/>
      <c r="C471" s="135"/>
      <c r="D471" s="136"/>
      <c r="E471" s="137"/>
    </row>
    <row r="472" spans="1:5" ht="21.75">
      <c r="A472" s="134"/>
      <c r="B472" s="26"/>
      <c r="C472" s="135"/>
      <c r="D472" s="136"/>
      <c r="E472" s="137"/>
    </row>
    <row r="473" spans="1:5" ht="21.75">
      <c r="A473" s="134"/>
      <c r="B473" s="26"/>
      <c r="C473" s="135"/>
      <c r="D473" s="136"/>
      <c r="E473" s="137"/>
    </row>
    <row r="474" spans="1:5" ht="21.75">
      <c r="A474" s="134"/>
      <c r="B474" s="26"/>
      <c r="C474" s="135"/>
      <c r="D474" s="136"/>
      <c r="E474" s="137"/>
    </row>
    <row r="475" spans="1:5" ht="21.75">
      <c r="A475" s="134"/>
      <c r="B475" s="26"/>
      <c r="C475" s="135"/>
      <c r="D475" s="136"/>
      <c r="E475" s="137"/>
    </row>
    <row r="476" spans="1:5" ht="21.75">
      <c r="A476" s="134"/>
      <c r="B476" s="26"/>
      <c r="C476" s="135"/>
      <c r="D476" s="136"/>
      <c r="E476" s="137"/>
    </row>
    <row r="477" spans="1:5" ht="21.75">
      <c r="A477" s="134"/>
      <c r="B477" s="26"/>
      <c r="C477" s="135"/>
      <c r="D477" s="136"/>
      <c r="E477" s="137"/>
    </row>
    <row r="478" spans="1:5" ht="21.75">
      <c r="A478" s="134"/>
      <c r="B478" s="26"/>
      <c r="C478" s="135"/>
      <c r="D478" s="136"/>
      <c r="E478" s="137"/>
    </row>
    <row r="479" spans="1:5" ht="21.75">
      <c r="A479" s="134"/>
      <c r="B479" s="26"/>
      <c r="C479" s="135"/>
      <c r="D479" s="136"/>
      <c r="E479" s="137"/>
    </row>
    <row r="480" spans="1:5" ht="21.75">
      <c r="A480" s="134"/>
      <c r="B480" s="26"/>
      <c r="C480" s="135"/>
      <c r="D480" s="136"/>
      <c r="E480" s="137"/>
    </row>
    <row r="481" spans="1:5" ht="21.75">
      <c r="A481" s="134"/>
      <c r="B481" s="26"/>
      <c r="C481" s="135"/>
      <c r="D481" s="136"/>
      <c r="E481" s="137"/>
    </row>
    <row r="482" spans="1:5" ht="21.75">
      <c r="A482" s="134"/>
      <c r="B482" s="26"/>
      <c r="C482" s="135"/>
      <c r="D482" s="136"/>
      <c r="E482" s="137"/>
    </row>
    <row r="483" spans="1:5" ht="21.75">
      <c r="A483" s="134"/>
      <c r="B483" s="26"/>
      <c r="C483" s="135"/>
      <c r="D483" s="136"/>
      <c r="E483" s="137"/>
    </row>
    <row r="484" spans="1:5" ht="21.75">
      <c r="A484" s="134"/>
      <c r="B484" s="26"/>
      <c r="C484" s="135"/>
      <c r="D484" s="136"/>
      <c r="E484" s="137"/>
    </row>
    <row r="485" spans="1:5" ht="21.75">
      <c r="A485" s="134"/>
      <c r="B485" s="26"/>
      <c r="C485" s="135"/>
      <c r="D485" s="136"/>
      <c r="E485" s="137"/>
    </row>
    <row r="486" spans="1:5" ht="21.75">
      <c r="A486" s="134"/>
      <c r="B486" s="26"/>
      <c r="C486" s="135"/>
      <c r="D486" s="136"/>
      <c r="E486" s="137"/>
    </row>
    <row r="487" spans="1:5" ht="21.75">
      <c r="A487" s="134"/>
      <c r="B487" s="26"/>
      <c r="C487" s="135"/>
      <c r="D487" s="136"/>
      <c r="E487" s="137"/>
    </row>
    <row r="488" spans="1:5" ht="21.75">
      <c r="A488" s="134"/>
      <c r="B488" s="26"/>
      <c r="C488" s="135"/>
      <c r="D488" s="136"/>
      <c r="E488" s="137"/>
    </row>
    <row r="489" spans="1:5" ht="21.75">
      <c r="A489" s="134"/>
      <c r="B489" s="26"/>
      <c r="C489" s="135"/>
      <c r="D489" s="136"/>
      <c r="E489" s="137"/>
    </row>
    <row r="490" spans="1:5" ht="21.75">
      <c r="A490" s="134"/>
      <c r="B490" s="26"/>
      <c r="C490" s="135"/>
      <c r="D490" s="136"/>
      <c r="E490" s="137"/>
    </row>
    <row r="491" spans="1:5" ht="21.75">
      <c r="A491" s="134"/>
      <c r="B491" s="26"/>
      <c r="C491" s="135"/>
      <c r="D491" s="136"/>
      <c r="E491" s="137"/>
    </row>
    <row r="492" spans="1:5" ht="21.75">
      <c r="A492" s="134"/>
      <c r="B492" s="26"/>
      <c r="C492" s="135"/>
      <c r="D492" s="136"/>
      <c r="E492" s="137"/>
    </row>
    <row r="493" spans="1:5" ht="21.75">
      <c r="A493" s="134"/>
      <c r="B493" s="26"/>
      <c r="C493" s="135"/>
      <c r="D493" s="136"/>
      <c r="E493" s="137"/>
    </row>
    <row r="494" spans="1:5" ht="21.75">
      <c r="A494" s="134"/>
      <c r="B494" s="26"/>
      <c r="C494" s="135"/>
      <c r="D494" s="136"/>
      <c r="E494" s="137"/>
    </row>
    <row r="495" spans="1:5" ht="21.75">
      <c r="A495" s="134"/>
      <c r="B495" s="26"/>
      <c r="C495" s="135"/>
      <c r="D495" s="136"/>
      <c r="E495" s="137"/>
    </row>
    <row r="496" spans="1:5" ht="21.75">
      <c r="A496" s="134"/>
      <c r="B496" s="26"/>
      <c r="C496" s="135"/>
      <c r="D496" s="136"/>
      <c r="E496" s="137"/>
    </row>
    <row r="497" spans="1:5" ht="21.75">
      <c r="A497" s="134"/>
      <c r="B497" s="26"/>
      <c r="C497" s="135"/>
      <c r="D497" s="136"/>
      <c r="E497" s="137"/>
    </row>
    <row r="498" spans="1:5" ht="21.75">
      <c r="A498" s="134"/>
      <c r="B498" s="26"/>
      <c r="C498" s="135"/>
      <c r="D498" s="136"/>
      <c r="E498" s="137"/>
    </row>
    <row r="499" spans="1:5" ht="21.75">
      <c r="A499" s="134"/>
      <c r="B499" s="26"/>
      <c r="C499" s="135"/>
      <c r="D499" s="136"/>
      <c r="E499" s="137"/>
    </row>
    <row r="500" spans="1:5" ht="21.75">
      <c r="A500" s="134"/>
      <c r="B500" s="26"/>
      <c r="C500" s="135"/>
      <c r="D500" s="136"/>
      <c r="E500" s="137"/>
    </row>
    <row r="501" spans="1:5" ht="21.75">
      <c r="A501" s="134"/>
      <c r="B501" s="26"/>
      <c r="C501" s="135"/>
      <c r="D501" s="136"/>
      <c r="E501" s="137"/>
    </row>
    <row r="502" spans="1:5" ht="21.75">
      <c r="A502" s="134"/>
      <c r="B502" s="26"/>
      <c r="C502" s="135"/>
      <c r="D502" s="136"/>
      <c r="E502" s="137"/>
    </row>
    <row r="503" spans="1:5" ht="21.75">
      <c r="A503" s="134"/>
      <c r="B503" s="26"/>
      <c r="C503" s="135"/>
      <c r="D503" s="136"/>
      <c r="E503" s="137"/>
    </row>
    <row r="504" spans="1:5" ht="21.75">
      <c r="A504" s="134"/>
      <c r="B504" s="26"/>
      <c r="C504" s="135"/>
      <c r="D504" s="136"/>
      <c r="E504" s="137"/>
    </row>
    <row r="505" spans="1:5" ht="21.75">
      <c r="A505" s="134"/>
      <c r="B505" s="26"/>
      <c r="C505" s="135"/>
      <c r="D505" s="136"/>
      <c r="E505" s="137"/>
    </row>
    <row r="506" spans="1:5" ht="21.75">
      <c r="A506" s="134"/>
      <c r="B506" s="26"/>
      <c r="C506" s="135"/>
      <c r="D506" s="136"/>
      <c r="E506" s="137"/>
    </row>
    <row r="507" spans="1:5" ht="21.75">
      <c r="A507" s="134"/>
      <c r="B507" s="26"/>
      <c r="C507" s="135"/>
      <c r="D507" s="136"/>
      <c r="E507" s="137"/>
    </row>
    <row r="508" spans="1:5" ht="21.75">
      <c r="A508" s="134"/>
      <c r="B508" s="26"/>
      <c r="C508" s="135"/>
      <c r="D508" s="136"/>
      <c r="E508" s="137"/>
    </row>
    <row r="509" spans="1:5" ht="21.75">
      <c r="A509" s="134"/>
      <c r="B509" s="26"/>
      <c r="C509" s="135"/>
      <c r="D509" s="136"/>
      <c r="E509" s="137"/>
    </row>
    <row r="510" spans="1:5" ht="21.75">
      <c r="A510" s="134"/>
      <c r="B510" s="26"/>
      <c r="C510" s="135"/>
      <c r="D510" s="136"/>
      <c r="E510" s="137"/>
    </row>
    <row r="511" spans="1:5" ht="21.75">
      <c r="A511" s="134"/>
      <c r="B511" s="26"/>
      <c r="C511" s="135"/>
      <c r="D511" s="136"/>
      <c r="E511" s="137"/>
    </row>
    <row r="512" spans="1:5" ht="21.75">
      <c r="A512" s="134"/>
      <c r="B512" s="26"/>
      <c r="C512" s="135"/>
      <c r="D512" s="136"/>
      <c r="E512" s="137"/>
    </row>
    <row r="513" spans="1:5" ht="21.75">
      <c r="A513" s="134"/>
      <c r="B513" s="26"/>
      <c r="C513" s="135"/>
      <c r="D513" s="136"/>
      <c r="E513" s="137"/>
    </row>
    <row r="514" spans="1:5" ht="21.75">
      <c r="A514" s="134"/>
      <c r="B514" s="26"/>
      <c r="C514" s="135"/>
      <c r="D514" s="136"/>
      <c r="E514" s="137"/>
    </row>
    <row r="515" spans="1:5" ht="21.75">
      <c r="A515" s="134"/>
      <c r="B515" s="26"/>
      <c r="C515" s="135"/>
      <c r="D515" s="136"/>
      <c r="E515" s="137"/>
    </row>
    <row r="516" spans="1:5" ht="21.75">
      <c r="A516" s="134"/>
      <c r="B516" s="26"/>
      <c r="C516" s="135"/>
      <c r="D516" s="136"/>
      <c r="E516" s="137"/>
    </row>
    <row r="517" spans="1:5" ht="21.75">
      <c r="A517" s="134"/>
      <c r="B517" s="26"/>
      <c r="C517" s="135"/>
      <c r="D517" s="136"/>
      <c r="E517" s="137"/>
    </row>
    <row r="518" spans="1:5" ht="21.75">
      <c r="A518" s="134"/>
      <c r="B518" s="26"/>
      <c r="C518" s="135"/>
      <c r="D518" s="136"/>
      <c r="E518" s="137"/>
    </row>
    <row r="519" spans="1:5" ht="21.75">
      <c r="A519" s="134"/>
      <c r="B519" s="26"/>
      <c r="C519" s="135"/>
      <c r="D519" s="136"/>
      <c r="E519" s="137"/>
    </row>
    <row r="520" spans="1:5" ht="21.75">
      <c r="A520" s="134"/>
      <c r="B520" s="26"/>
      <c r="C520" s="135"/>
      <c r="D520" s="136"/>
      <c r="E520" s="137"/>
    </row>
    <row r="521" spans="1:5" ht="21.75">
      <c r="A521" s="134"/>
      <c r="B521" s="26"/>
      <c r="C521" s="135"/>
      <c r="D521" s="136"/>
      <c r="E521" s="137"/>
    </row>
    <row r="522" spans="1:5" ht="21.75">
      <c r="A522" s="134"/>
      <c r="B522" s="26"/>
      <c r="C522" s="135"/>
      <c r="D522" s="136"/>
      <c r="E522" s="137"/>
    </row>
    <row r="523" spans="1:5" ht="21.75">
      <c r="A523" s="134"/>
      <c r="B523" s="26"/>
      <c r="C523" s="135"/>
      <c r="D523" s="136"/>
      <c r="E523" s="137"/>
    </row>
    <row r="524" spans="1:5" ht="21.75">
      <c r="A524" s="134"/>
      <c r="B524" s="26"/>
      <c r="C524" s="135"/>
      <c r="D524" s="136"/>
      <c r="E524" s="137"/>
    </row>
    <row r="525" spans="1:5" ht="21.75">
      <c r="A525" s="134"/>
      <c r="B525" s="26"/>
      <c r="C525" s="135"/>
      <c r="D525" s="136"/>
      <c r="E525" s="137"/>
    </row>
    <row r="526" spans="1:5" ht="21.75">
      <c r="A526" s="134"/>
      <c r="B526" s="26"/>
      <c r="C526" s="135"/>
      <c r="D526" s="136"/>
      <c r="E526" s="137"/>
    </row>
    <row r="527" spans="1:5" ht="21.75">
      <c r="A527" s="134"/>
      <c r="B527" s="26"/>
      <c r="C527" s="135"/>
      <c r="D527" s="136"/>
      <c r="E527" s="137"/>
    </row>
    <row r="528" spans="1:5" ht="21.75">
      <c r="A528" s="134"/>
      <c r="B528" s="26"/>
      <c r="C528" s="135"/>
      <c r="D528" s="136"/>
      <c r="E528" s="137"/>
    </row>
    <row r="529" spans="1:5" ht="21.75">
      <c r="A529" s="134"/>
      <c r="B529" s="26"/>
      <c r="C529" s="135"/>
      <c r="D529" s="136"/>
      <c r="E529" s="137"/>
    </row>
    <row r="530" spans="1:5" ht="21.75">
      <c r="A530" s="134"/>
      <c r="B530" s="26"/>
      <c r="C530" s="135"/>
      <c r="D530" s="136"/>
      <c r="E530" s="137"/>
    </row>
    <row r="531" spans="1:5" ht="21.75">
      <c r="A531" s="134"/>
      <c r="B531" s="26"/>
      <c r="C531" s="135"/>
      <c r="D531" s="136"/>
      <c r="E531" s="137"/>
    </row>
    <row r="532" spans="1:5" ht="21.75">
      <c r="A532" s="134"/>
      <c r="B532" s="26"/>
      <c r="C532" s="135"/>
      <c r="D532" s="136"/>
      <c r="E532" s="137"/>
    </row>
    <row r="533" spans="1:5" ht="21.75">
      <c r="A533" s="134"/>
      <c r="B533" s="26"/>
      <c r="C533" s="135"/>
      <c r="D533" s="136"/>
      <c r="E533" s="137"/>
    </row>
    <row r="534" spans="1:5" ht="21.75">
      <c r="A534" s="134"/>
      <c r="B534" s="26"/>
      <c r="C534" s="135"/>
      <c r="D534" s="136"/>
      <c r="E534" s="137"/>
    </row>
    <row r="535" spans="1:5" ht="21.75">
      <c r="A535" s="134"/>
      <c r="B535" s="26"/>
      <c r="C535" s="135"/>
      <c r="D535" s="136"/>
      <c r="E535" s="137"/>
    </row>
    <row r="536" spans="1:5" ht="21.75">
      <c r="A536" s="134"/>
      <c r="B536" s="26"/>
      <c r="C536" s="135"/>
      <c r="D536" s="136"/>
      <c r="E536" s="137"/>
    </row>
    <row r="537" spans="1:5" ht="21.75">
      <c r="A537" s="134"/>
      <c r="B537" s="26"/>
      <c r="C537" s="135"/>
      <c r="D537" s="136"/>
      <c r="E537" s="137"/>
    </row>
    <row r="538" spans="1:5" ht="21.75">
      <c r="A538" s="134"/>
      <c r="B538" s="26"/>
      <c r="C538" s="135"/>
      <c r="D538" s="136"/>
      <c r="E538" s="137"/>
    </row>
    <row r="539" spans="1:5" ht="21.75">
      <c r="A539" s="134"/>
      <c r="B539" s="26"/>
      <c r="C539" s="135"/>
      <c r="D539" s="136"/>
      <c r="E539" s="137"/>
    </row>
    <row r="540" spans="1:5" ht="21.75">
      <c r="A540" s="134"/>
      <c r="B540" s="26"/>
      <c r="C540" s="135"/>
      <c r="D540" s="136"/>
      <c r="E540" s="137"/>
    </row>
    <row r="541" spans="1:5" ht="21.75">
      <c r="A541" s="134"/>
      <c r="B541" s="26"/>
      <c r="C541" s="135"/>
      <c r="D541" s="136"/>
      <c r="E541" s="137"/>
    </row>
    <row r="542" spans="1:5" ht="21.75">
      <c r="A542" s="134"/>
      <c r="B542" s="26"/>
      <c r="C542" s="135"/>
      <c r="D542" s="136"/>
      <c r="E542" s="137"/>
    </row>
    <row r="543" spans="1:5" ht="21.75">
      <c r="A543" s="134"/>
      <c r="B543" s="26"/>
      <c r="C543" s="135"/>
      <c r="D543" s="136"/>
      <c r="E543" s="137"/>
    </row>
    <row r="544" spans="1:5" ht="21.75">
      <c r="A544" s="134"/>
      <c r="B544" s="26"/>
      <c r="C544" s="135"/>
      <c r="D544" s="136"/>
      <c r="E544" s="137"/>
    </row>
    <row r="545" spans="1:5" ht="21.75">
      <c r="A545" s="134"/>
      <c r="B545" s="26"/>
      <c r="C545" s="135"/>
      <c r="D545" s="136"/>
      <c r="E545" s="137"/>
    </row>
    <row r="546" spans="1:5" ht="21.75">
      <c r="A546" s="134"/>
      <c r="B546" s="26"/>
      <c r="C546" s="135"/>
      <c r="D546" s="136"/>
      <c r="E546" s="137"/>
    </row>
    <row r="547" spans="1:5" ht="21.75">
      <c r="A547" s="134"/>
      <c r="B547" s="26"/>
      <c r="C547" s="135"/>
      <c r="D547" s="136"/>
      <c r="E547" s="137"/>
    </row>
    <row r="548" spans="1:5" ht="21.75">
      <c r="A548" s="134"/>
      <c r="B548" s="26"/>
      <c r="C548" s="135"/>
      <c r="D548" s="136"/>
      <c r="E548" s="137"/>
    </row>
    <row r="549" spans="1:5" ht="21.75">
      <c r="A549" s="134"/>
      <c r="B549" s="26"/>
      <c r="C549" s="135"/>
      <c r="D549" s="136"/>
      <c r="E549" s="137"/>
    </row>
    <row r="550" spans="1:5" ht="21.75">
      <c r="A550" s="134"/>
      <c r="B550" s="26"/>
      <c r="C550" s="135"/>
      <c r="D550" s="136"/>
      <c r="E550" s="137"/>
    </row>
    <row r="551" spans="1:5" ht="21.75">
      <c r="A551" s="134"/>
      <c r="B551" s="26"/>
      <c r="C551" s="135"/>
      <c r="D551" s="136"/>
      <c r="E551" s="137"/>
    </row>
    <row r="552" spans="1:5" ht="21.75">
      <c r="A552" s="134"/>
      <c r="B552" s="26"/>
      <c r="C552" s="135"/>
      <c r="D552" s="136"/>
      <c r="E552" s="137"/>
    </row>
    <row r="553" spans="1:5" ht="21.75">
      <c r="A553" s="134"/>
      <c r="B553" s="26"/>
      <c r="C553" s="135"/>
      <c r="D553" s="136"/>
      <c r="E553" s="137"/>
    </row>
    <row r="554" spans="1:5" ht="21.75">
      <c r="A554" s="134"/>
      <c r="B554" s="26"/>
      <c r="C554" s="135"/>
      <c r="D554" s="136"/>
      <c r="E554" s="137"/>
    </row>
    <row r="555" spans="1:5" ht="21.75">
      <c r="A555" s="134"/>
      <c r="B555" s="26"/>
      <c r="C555" s="135"/>
      <c r="D555" s="136"/>
      <c r="E555" s="137"/>
    </row>
    <row r="556" spans="1:5" ht="21.75">
      <c r="A556" s="134"/>
      <c r="B556" s="26"/>
      <c r="C556" s="135"/>
      <c r="D556" s="136"/>
      <c r="E556" s="137"/>
    </row>
    <row r="557" spans="1:5" ht="21.75">
      <c r="A557" s="134"/>
      <c r="B557" s="26"/>
      <c r="C557" s="135"/>
      <c r="D557" s="136"/>
      <c r="E557" s="137"/>
    </row>
    <row r="558" spans="1:5" ht="21.75">
      <c r="A558" s="134"/>
      <c r="B558" s="26"/>
      <c r="C558" s="135"/>
      <c r="D558" s="136"/>
      <c r="E558" s="137"/>
    </row>
    <row r="559" spans="1:5" ht="21.75">
      <c r="A559" s="134"/>
      <c r="B559" s="26"/>
      <c r="C559" s="135"/>
      <c r="D559" s="136"/>
      <c r="E559" s="137"/>
    </row>
    <row r="560" spans="1:5" ht="21.75">
      <c r="A560" s="134"/>
      <c r="B560" s="26"/>
      <c r="C560" s="135"/>
      <c r="D560" s="136"/>
      <c r="E560" s="137"/>
    </row>
    <row r="561" spans="1:5" ht="21.75">
      <c r="A561" s="134"/>
      <c r="B561" s="26"/>
      <c r="C561" s="135"/>
      <c r="D561" s="136"/>
      <c r="E561" s="137"/>
    </row>
    <row r="562" spans="1:5" ht="21.75">
      <c r="A562" s="134"/>
      <c r="B562" s="26"/>
      <c r="C562" s="135"/>
      <c r="D562" s="136"/>
      <c r="E562" s="137"/>
    </row>
    <row r="563" spans="1:5" ht="21.75">
      <c r="A563" s="134"/>
      <c r="B563" s="26"/>
      <c r="C563" s="135"/>
      <c r="D563" s="136"/>
      <c r="E563" s="137"/>
    </row>
    <row r="564" spans="1:5" ht="21.75">
      <c r="A564" s="134"/>
      <c r="B564" s="26"/>
      <c r="C564" s="135"/>
      <c r="D564" s="136"/>
      <c r="E564" s="137"/>
    </row>
    <row r="565" spans="1:5" ht="21.75">
      <c r="A565" s="134"/>
      <c r="B565" s="26"/>
      <c r="C565" s="135"/>
      <c r="D565" s="136"/>
      <c r="E565" s="137"/>
    </row>
    <row r="566" spans="1:5" ht="21.75">
      <c r="A566" s="134"/>
      <c r="B566" s="26"/>
      <c r="C566" s="135"/>
      <c r="D566" s="136"/>
      <c r="E566" s="137"/>
    </row>
    <row r="567" spans="1:5" ht="21.75">
      <c r="A567" s="134"/>
      <c r="B567" s="26"/>
      <c r="C567" s="135"/>
      <c r="D567" s="136"/>
      <c r="E567" s="137"/>
    </row>
    <row r="568" spans="1:5" ht="21.75">
      <c r="A568" s="134"/>
      <c r="B568" s="26"/>
      <c r="C568" s="135"/>
      <c r="D568" s="136"/>
      <c r="E568" s="137"/>
    </row>
    <row r="569" spans="1:5" ht="21.75">
      <c r="A569" s="134"/>
      <c r="B569" s="26"/>
      <c r="C569" s="135"/>
      <c r="D569" s="136"/>
      <c r="E569" s="137"/>
    </row>
    <row r="570" spans="1:5" ht="21.75">
      <c r="A570" s="134"/>
      <c r="B570" s="26"/>
      <c r="C570" s="135"/>
      <c r="D570" s="136"/>
      <c r="E570" s="137"/>
    </row>
    <row r="571" spans="1:5" ht="21.75">
      <c r="A571" s="134"/>
      <c r="B571" s="26"/>
      <c r="C571" s="135"/>
      <c r="D571" s="136"/>
      <c r="E571" s="137"/>
    </row>
    <row r="572" spans="1:5" ht="21.75">
      <c r="A572" s="134"/>
      <c r="B572" s="26"/>
      <c r="C572" s="135"/>
      <c r="D572" s="136"/>
      <c r="E572" s="137"/>
    </row>
    <row r="573" spans="1:5" ht="21.75">
      <c r="A573" s="134"/>
      <c r="B573" s="26"/>
      <c r="C573" s="135"/>
      <c r="D573" s="136"/>
      <c r="E573" s="137"/>
    </row>
    <row r="574" spans="1:5" ht="21.75">
      <c r="A574" s="134"/>
      <c r="B574" s="26"/>
      <c r="C574" s="135"/>
      <c r="D574" s="136"/>
      <c r="E574" s="137"/>
    </row>
    <row r="575" spans="1:5" ht="21.75">
      <c r="A575" s="134"/>
      <c r="B575" s="26"/>
      <c r="C575" s="135"/>
      <c r="D575" s="136"/>
      <c r="E575" s="137"/>
    </row>
    <row r="576" spans="1:5" ht="21.75">
      <c r="A576" s="134"/>
      <c r="B576" s="26"/>
      <c r="C576" s="135"/>
      <c r="D576" s="136"/>
      <c r="E576" s="137"/>
    </row>
    <row r="577" spans="1:5" ht="21.75">
      <c r="A577" s="134"/>
      <c r="B577" s="26"/>
      <c r="C577" s="135"/>
      <c r="D577" s="136"/>
      <c r="E577" s="137"/>
    </row>
    <row r="578" spans="1:5" ht="21.75">
      <c r="A578" s="134"/>
      <c r="B578" s="26"/>
      <c r="C578" s="135"/>
      <c r="D578" s="136"/>
      <c r="E578" s="137"/>
    </row>
    <row r="579" spans="1:5" ht="21.75">
      <c r="A579" s="134"/>
      <c r="B579" s="26"/>
      <c r="C579" s="135"/>
      <c r="D579" s="136"/>
      <c r="E579" s="137"/>
    </row>
    <row r="580" spans="1:5" ht="21.75">
      <c r="A580" s="134"/>
      <c r="B580" s="26"/>
      <c r="C580" s="135"/>
      <c r="D580" s="136"/>
      <c r="E580" s="137"/>
    </row>
    <row r="581" spans="1:5" ht="21.75">
      <c r="A581" s="134"/>
      <c r="B581" s="26"/>
      <c r="C581" s="135"/>
      <c r="D581" s="136"/>
      <c r="E581" s="137"/>
    </row>
    <row r="582" spans="1:5" ht="21.75">
      <c r="A582" s="134"/>
      <c r="B582" s="26"/>
      <c r="C582" s="135"/>
      <c r="D582" s="136"/>
      <c r="E582" s="137"/>
    </row>
    <row r="583" spans="1:5" ht="21.75">
      <c r="A583" s="134"/>
      <c r="B583" s="26"/>
      <c r="C583" s="135"/>
      <c r="D583" s="136"/>
      <c r="E583" s="137"/>
    </row>
    <row r="584" spans="1:5" ht="21.75">
      <c r="A584" s="134"/>
      <c r="B584" s="26"/>
      <c r="C584" s="135"/>
      <c r="D584" s="136"/>
      <c r="E584" s="137"/>
    </row>
    <row r="585" spans="1:5" ht="21.75">
      <c r="A585" s="134"/>
      <c r="B585" s="26"/>
      <c r="C585" s="135"/>
      <c r="D585" s="136"/>
      <c r="E585" s="137"/>
    </row>
    <row r="586" spans="1:5" ht="21.75">
      <c r="A586" s="134"/>
      <c r="B586" s="26"/>
      <c r="C586" s="135"/>
      <c r="D586" s="136"/>
      <c r="E586" s="137"/>
    </row>
    <row r="587" spans="1:5" ht="21.75">
      <c r="A587" s="134"/>
      <c r="B587" s="26"/>
      <c r="C587" s="135"/>
      <c r="D587" s="136"/>
      <c r="E587" s="137"/>
    </row>
    <row r="588" spans="1:5" ht="21.75">
      <c r="A588" s="134"/>
      <c r="B588" s="26"/>
      <c r="C588" s="135"/>
      <c r="D588" s="136"/>
      <c r="E588" s="137"/>
    </row>
    <row r="589" spans="1:5" ht="21.75">
      <c r="A589" s="134"/>
      <c r="B589" s="26"/>
      <c r="C589" s="135"/>
      <c r="D589" s="136"/>
      <c r="E589" s="137"/>
    </row>
    <row r="590" spans="1:5" ht="21.75">
      <c r="A590" s="134"/>
      <c r="B590" s="26"/>
      <c r="C590" s="135"/>
      <c r="D590" s="136"/>
      <c r="E590" s="137"/>
    </row>
    <row r="591" spans="1:5" ht="21.75">
      <c r="A591" s="134"/>
      <c r="B591" s="26"/>
      <c r="C591" s="135"/>
      <c r="D591" s="136"/>
      <c r="E591" s="137"/>
    </row>
    <row r="592" spans="1:5" ht="21.75">
      <c r="A592" s="134"/>
      <c r="B592" s="26"/>
      <c r="C592" s="135"/>
      <c r="D592" s="136"/>
      <c r="E592" s="137"/>
    </row>
    <row r="593" spans="1:5" ht="21.75">
      <c r="A593" s="134"/>
      <c r="B593" s="26"/>
      <c r="C593" s="135"/>
      <c r="D593" s="136"/>
      <c r="E593" s="137"/>
    </row>
    <row r="594" spans="1:5" ht="21.75">
      <c r="A594" s="134"/>
      <c r="B594" s="26"/>
      <c r="C594" s="135"/>
      <c r="D594" s="136"/>
      <c r="E594" s="137"/>
    </row>
    <row r="595" spans="1:5" ht="21.75">
      <c r="A595" s="134"/>
      <c r="B595" s="26"/>
      <c r="C595" s="135"/>
      <c r="D595" s="136"/>
      <c r="E595" s="137"/>
    </row>
    <row r="596" spans="1:5" ht="21.75">
      <c r="A596" s="134"/>
      <c r="B596" s="26"/>
      <c r="C596" s="135"/>
      <c r="D596" s="136"/>
      <c r="E596" s="137"/>
    </row>
    <row r="597" spans="1:5" ht="21.75">
      <c r="A597" s="134"/>
      <c r="B597" s="26"/>
      <c r="C597" s="135"/>
      <c r="D597" s="136"/>
      <c r="E597" s="137"/>
    </row>
    <row r="598" spans="1:5" ht="21.75">
      <c r="A598" s="134"/>
      <c r="B598" s="26"/>
      <c r="C598" s="135"/>
      <c r="D598" s="136"/>
      <c r="E598" s="137"/>
    </row>
    <row r="599" spans="1:5" ht="21.75">
      <c r="A599" s="134"/>
      <c r="B599" s="26"/>
      <c r="C599" s="135"/>
      <c r="D599" s="136"/>
      <c r="E599" s="137"/>
    </row>
    <row r="600" spans="1:5" ht="21.75">
      <c r="A600" s="134"/>
      <c r="B600" s="26"/>
      <c r="C600" s="135"/>
      <c r="D600" s="136"/>
      <c r="E600" s="137"/>
    </row>
    <row r="601" spans="1:5" ht="21.75">
      <c r="A601" s="134"/>
      <c r="B601" s="26"/>
      <c r="C601" s="135"/>
      <c r="D601" s="136"/>
      <c r="E601" s="137"/>
    </row>
    <row r="602" spans="1:5" ht="21.75">
      <c r="A602" s="134"/>
      <c r="B602" s="26"/>
      <c r="C602" s="135"/>
      <c r="D602" s="136"/>
      <c r="E602" s="137"/>
    </row>
    <row r="603" spans="1:5" ht="21.75">
      <c r="A603" s="134"/>
      <c r="B603" s="26"/>
      <c r="C603" s="135"/>
      <c r="D603" s="136"/>
      <c r="E603" s="137"/>
    </row>
    <row r="604" spans="1:5" ht="21.75">
      <c r="A604" s="134"/>
      <c r="B604" s="26"/>
      <c r="C604" s="135"/>
      <c r="D604" s="136"/>
      <c r="E604" s="137"/>
    </row>
    <row r="605" spans="1:5" ht="21.75">
      <c r="A605" s="134"/>
      <c r="B605" s="26"/>
      <c r="C605" s="135"/>
      <c r="D605" s="136"/>
      <c r="E605" s="137"/>
    </row>
    <row r="606" spans="1:5" ht="21.75">
      <c r="A606" s="134"/>
      <c r="B606" s="26"/>
      <c r="C606" s="135"/>
      <c r="D606" s="136"/>
      <c r="E606" s="137"/>
    </row>
    <row r="607" spans="1:5" ht="21.75">
      <c r="A607" s="134"/>
      <c r="B607" s="26"/>
      <c r="C607" s="135"/>
      <c r="D607" s="136"/>
      <c r="E607" s="137"/>
    </row>
    <row r="608" spans="1:5" ht="21.75">
      <c r="A608" s="134"/>
      <c r="B608" s="26"/>
      <c r="C608" s="135"/>
      <c r="D608" s="136"/>
      <c r="E608" s="137"/>
    </row>
    <row r="609" spans="1:5" ht="21.75">
      <c r="A609" s="134"/>
      <c r="B609" s="26"/>
      <c r="C609" s="135"/>
      <c r="D609" s="136"/>
      <c r="E609" s="137"/>
    </row>
    <row r="610" spans="1:5" ht="21.75">
      <c r="A610" s="134"/>
      <c r="B610" s="26"/>
      <c r="C610" s="135"/>
      <c r="D610" s="136"/>
      <c r="E610" s="137"/>
    </row>
    <row r="611" spans="1:5" ht="21.75">
      <c r="A611" s="134"/>
      <c r="B611" s="26"/>
      <c r="C611" s="135"/>
      <c r="D611" s="136"/>
      <c r="E611" s="137"/>
    </row>
    <row r="612" spans="1:5" ht="21.75">
      <c r="A612" s="134"/>
      <c r="B612" s="26"/>
      <c r="C612" s="135"/>
      <c r="D612" s="136"/>
      <c r="E612" s="137"/>
    </row>
    <row r="613" spans="1:5" ht="21.75">
      <c r="A613" s="134"/>
      <c r="B613" s="26"/>
      <c r="C613" s="135"/>
      <c r="D613" s="136"/>
      <c r="E613" s="137"/>
    </row>
    <row r="614" spans="1:5" ht="21.75">
      <c r="A614" s="134"/>
      <c r="B614" s="26"/>
      <c r="C614" s="135"/>
      <c r="D614" s="136"/>
      <c r="E614" s="137"/>
    </row>
    <row r="615" spans="1:5" ht="21.75">
      <c r="A615" s="134"/>
      <c r="B615" s="26"/>
      <c r="C615" s="135"/>
      <c r="D615" s="136"/>
      <c r="E615" s="137"/>
    </row>
    <row r="616" spans="1:5" ht="21.75">
      <c r="A616" s="134"/>
      <c r="B616" s="26"/>
      <c r="C616" s="135"/>
      <c r="D616" s="136"/>
      <c r="E616" s="137"/>
    </row>
    <row r="617" spans="1:5" ht="21.75">
      <c r="A617" s="134"/>
      <c r="B617" s="26"/>
      <c r="C617" s="135"/>
      <c r="D617" s="136"/>
      <c r="E617" s="137"/>
    </row>
    <row r="618" spans="1:5" ht="21.75">
      <c r="A618" s="134"/>
      <c r="B618" s="26"/>
      <c r="C618" s="135"/>
      <c r="D618" s="136"/>
      <c r="E618" s="137"/>
    </row>
    <row r="619" spans="1:5" ht="21.75">
      <c r="A619" s="134"/>
      <c r="B619" s="26"/>
      <c r="C619" s="135"/>
      <c r="D619" s="136"/>
      <c r="E619" s="137"/>
    </row>
    <row r="620" spans="1:5" ht="21.75">
      <c r="A620" s="134"/>
      <c r="B620" s="26"/>
      <c r="C620" s="135"/>
      <c r="D620" s="136"/>
      <c r="E620" s="137"/>
    </row>
    <row r="621" spans="1:5" ht="21.75">
      <c r="A621" s="134"/>
      <c r="B621" s="26"/>
      <c r="C621" s="135"/>
      <c r="D621" s="136"/>
      <c r="E621" s="137"/>
    </row>
    <row r="622" spans="1:5" ht="21.75">
      <c r="A622" s="134"/>
      <c r="B622" s="26"/>
      <c r="C622" s="135"/>
      <c r="D622" s="136"/>
      <c r="E622" s="137"/>
    </row>
    <row r="623" spans="1:5" ht="21.75">
      <c r="A623" s="134"/>
      <c r="B623" s="26"/>
      <c r="C623" s="135"/>
      <c r="D623" s="136"/>
      <c r="E623" s="137"/>
    </row>
    <row r="624" spans="1:5" ht="21.75">
      <c r="A624" s="134"/>
      <c r="B624" s="26"/>
      <c r="C624" s="135"/>
      <c r="D624" s="136"/>
      <c r="E624" s="137"/>
    </row>
    <row r="625" spans="1:5" ht="21.75">
      <c r="A625" s="134"/>
      <c r="B625" s="26"/>
      <c r="C625" s="135"/>
      <c r="D625" s="136"/>
      <c r="E625" s="137"/>
    </row>
    <row r="626" spans="1:5" ht="21.75">
      <c r="A626" s="134"/>
      <c r="B626" s="26"/>
      <c r="C626" s="135"/>
      <c r="D626" s="136"/>
      <c r="E626" s="137"/>
    </row>
    <row r="627" spans="1:5" ht="21.75">
      <c r="A627" s="134"/>
      <c r="B627" s="26"/>
      <c r="C627" s="135"/>
      <c r="D627" s="136"/>
      <c r="E627" s="137"/>
    </row>
    <row r="628" spans="1:5" ht="21.75">
      <c r="A628" s="134"/>
      <c r="B628" s="26"/>
      <c r="C628" s="135"/>
      <c r="D628" s="136"/>
      <c r="E628" s="137"/>
    </row>
    <row r="629" spans="1:5" ht="21.75">
      <c r="A629" s="134"/>
      <c r="B629" s="26"/>
      <c r="C629" s="135"/>
      <c r="D629" s="136"/>
      <c r="E629" s="137"/>
    </row>
    <row r="630" spans="1:5" ht="21.75">
      <c r="A630" s="134"/>
      <c r="B630" s="26"/>
      <c r="C630" s="135"/>
      <c r="D630" s="136"/>
      <c r="E630" s="137"/>
    </row>
    <row r="631" spans="1:5" ht="21.75">
      <c r="A631" s="134"/>
      <c r="B631" s="26"/>
      <c r="C631" s="135"/>
      <c r="D631" s="136"/>
      <c r="E631" s="137"/>
    </row>
    <row r="632" spans="1:5" ht="21.75">
      <c r="A632" s="134"/>
      <c r="B632" s="26"/>
      <c r="C632" s="135"/>
      <c r="D632" s="136"/>
      <c r="E632" s="137"/>
    </row>
    <row r="633" spans="1:5" ht="21.75">
      <c r="A633" s="134"/>
      <c r="B633" s="26"/>
      <c r="C633" s="135"/>
      <c r="D633" s="136"/>
      <c r="E633" s="137"/>
    </row>
    <row r="634" spans="1:5" ht="21.75">
      <c r="A634" s="134"/>
      <c r="B634" s="26"/>
      <c r="C634" s="135"/>
      <c r="D634" s="136"/>
      <c r="E634" s="137"/>
    </row>
    <row r="635" spans="1:5" ht="21.75">
      <c r="A635" s="134"/>
      <c r="B635" s="26"/>
      <c r="C635" s="135"/>
      <c r="D635" s="136"/>
      <c r="E635" s="137"/>
    </row>
    <row r="636" spans="1:5" ht="21.75">
      <c r="A636" s="134"/>
      <c r="B636" s="26"/>
      <c r="C636" s="135"/>
      <c r="D636" s="136"/>
      <c r="E636" s="137"/>
    </row>
    <row r="637" spans="1:5" ht="21.75">
      <c r="A637" s="134"/>
      <c r="B637" s="26"/>
      <c r="C637" s="135"/>
      <c r="D637" s="136"/>
      <c r="E637" s="137"/>
    </row>
    <row r="638" spans="1:5" ht="21.75">
      <c r="A638" s="134"/>
      <c r="B638" s="26"/>
      <c r="C638" s="135"/>
      <c r="D638" s="136"/>
      <c r="E638" s="137"/>
    </row>
    <row r="639" spans="1:5" ht="21.75">
      <c r="A639" s="134"/>
      <c r="B639" s="26"/>
      <c r="C639" s="135"/>
      <c r="D639" s="136"/>
      <c r="E639" s="137"/>
    </row>
    <row r="640" spans="1:5" ht="21.75">
      <c r="A640" s="134"/>
      <c r="B640" s="26"/>
      <c r="C640" s="135"/>
      <c r="D640" s="136"/>
      <c r="E640" s="137"/>
    </row>
    <row r="641" spans="1:5" ht="21.75">
      <c r="A641" s="134"/>
      <c r="B641" s="26"/>
      <c r="C641" s="135"/>
      <c r="D641" s="136"/>
      <c r="E641" s="137"/>
    </row>
    <row r="642" spans="1:5" ht="21.75">
      <c r="A642" s="134"/>
      <c r="B642" s="26"/>
      <c r="C642" s="135"/>
      <c r="D642" s="136"/>
      <c r="E642" s="137"/>
    </row>
    <row r="643" spans="1:5" ht="21.75">
      <c r="A643" s="134"/>
      <c r="B643" s="26"/>
      <c r="C643" s="135"/>
      <c r="D643" s="136"/>
      <c r="E643" s="137"/>
    </row>
    <row r="644" spans="1:5" ht="21.75">
      <c r="A644" s="134"/>
      <c r="B644" s="26"/>
      <c r="C644" s="135"/>
      <c r="D644" s="136"/>
      <c r="E644" s="137"/>
    </row>
    <row r="645" spans="1:5" ht="21.75">
      <c r="A645" s="134"/>
      <c r="B645" s="26"/>
      <c r="C645" s="135"/>
      <c r="D645" s="136"/>
      <c r="E645" s="137"/>
    </row>
    <row r="646" spans="1:5" ht="21.75">
      <c r="A646" s="134"/>
      <c r="B646" s="26"/>
      <c r="C646" s="135"/>
      <c r="D646" s="136"/>
      <c r="E646" s="137"/>
    </row>
    <row r="647" spans="1:5" ht="21.75">
      <c r="A647" s="134"/>
      <c r="B647" s="26"/>
      <c r="C647" s="135"/>
      <c r="D647" s="136"/>
      <c r="E647" s="137"/>
    </row>
    <row r="648" spans="1:5" ht="21.75">
      <c r="A648" s="134"/>
      <c r="B648" s="26"/>
      <c r="C648" s="135"/>
      <c r="D648" s="136"/>
      <c r="E648" s="137"/>
    </row>
    <row r="649" spans="1:5" ht="21.75">
      <c r="A649" s="134"/>
      <c r="B649" s="26"/>
      <c r="C649" s="135"/>
      <c r="D649" s="136"/>
      <c r="E649" s="137"/>
    </row>
    <row r="650" spans="1:5" ht="21.75">
      <c r="A650" s="134"/>
      <c r="B650" s="26"/>
      <c r="C650" s="135"/>
      <c r="D650" s="136"/>
      <c r="E650" s="137"/>
    </row>
    <row r="651" spans="1:5" ht="21.75">
      <c r="A651" s="134"/>
      <c r="B651" s="26"/>
      <c r="C651" s="135"/>
      <c r="D651" s="136"/>
      <c r="E651" s="137"/>
    </row>
    <row r="652" spans="1:5" ht="21.75">
      <c r="A652" s="134"/>
      <c r="B652" s="26"/>
      <c r="C652" s="135"/>
      <c r="D652" s="136"/>
      <c r="E652" s="137"/>
    </row>
    <row r="653" spans="1:5" ht="21.75">
      <c r="A653" s="134"/>
      <c r="B653" s="26"/>
      <c r="C653" s="135"/>
      <c r="D653" s="136"/>
      <c r="E653" s="137"/>
    </row>
    <row r="654" spans="1:5" ht="21.75">
      <c r="A654" s="134"/>
      <c r="B654" s="26"/>
      <c r="C654" s="135"/>
      <c r="D654" s="136"/>
      <c r="E654" s="137"/>
    </row>
    <row r="655" spans="1:5" ht="21.75">
      <c r="A655" s="134"/>
      <c r="B655" s="26"/>
      <c r="C655" s="135"/>
      <c r="D655" s="136"/>
      <c r="E655" s="137"/>
    </row>
    <row r="656" spans="1:5" ht="21.75">
      <c r="A656" s="134"/>
      <c r="B656" s="26"/>
      <c r="C656" s="135"/>
      <c r="D656" s="136"/>
      <c r="E656" s="137"/>
    </row>
    <row r="657" spans="1:5" ht="21.75">
      <c r="A657" s="134"/>
      <c r="B657" s="26"/>
      <c r="C657" s="135"/>
      <c r="D657" s="136"/>
      <c r="E657" s="137"/>
    </row>
    <row r="658" spans="1:5" ht="21.75">
      <c r="A658" s="134"/>
      <c r="B658" s="26"/>
      <c r="C658" s="135"/>
      <c r="D658" s="136"/>
      <c r="E658" s="137"/>
    </row>
    <row r="659" spans="1:5" ht="21.75">
      <c r="A659" s="134"/>
      <c r="B659" s="26"/>
      <c r="C659" s="135"/>
      <c r="D659" s="136"/>
      <c r="E659" s="137"/>
    </row>
    <row r="660" spans="1:5" ht="21.75">
      <c r="A660" s="134"/>
      <c r="B660" s="26"/>
      <c r="C660" s="135"/>
      <c r="D660" s="136"/>
      <c r="E660" s="137"/>
    </row>
    <row r="661" spans="1:5" ht="21.75">
      <c r="A661" s="134"/>
      <c r="B661" s="26"/>
      <c r="C661" s="135"/>
      <c r="D661" s="136"/>
      <c r="E661" s="137"/>
    </row>
    <row r="662" spans="1:5" ht="21.75">
      <c r="A662" s="134"/>
      <c r="B662" s="26"/>
      <c r="C662" s="135"/>
      <c r="D662" s="136"/>
      <c r="E662" s="137"/>
    </row>
    <row r="663" spans="1:5" ht="21.75">
      <c r="A663" s="134"/>
      <c r="B663" s="26"/>
      <c r="C663" s="135"/>
      <c r="D663" s="136"/>
      <c r="E663" s="137"/>
    </row>
    <row r="664" spans="1:5" ht="21.75">
      <c r="A664" s="134"/>
      <c r="B664" s="26"/>
      <c r="C664" s="135"/>
      <c r="D664" s="136"/>
      <c r="E664" s="137"/>
    </row>
    <row r="665" spans="1:5" ht="21.75">
      <c r="A665" s="134"/>
      <c r="B665" s="26"/>
      <c r="C665" s="135"/>
      <c r="D665" s="136"/>
      <c r="E665" s="137"/>
    </row>
    <row r="666" spans="1:5" ht="21.75">
      <c r="A666" s="134"/>
      <c r="B666" s="26"/>
      <c r="C666" s="135"/>
      <c r="D666" s="136"/>
      <c r="E666" s="137"/>
    </row>
    <row r="667" spans="1:5" ht="21.75">
      <c r="A667" s="134"/>
      <c r="B667" s="26"/>
      <c r="C667" s="135"/>
      <c r="D667" s="136"/>
      <c r="E667" s="137"/>
    </row>
    <row r="668" spans="1:5" ht="21.75">
      <c r="A668" s="134"/>
      <c r="B668" s="26"/>
      <c r="C668" s="135"/>
      <c r="D668" s="136"/>
      <c r="E668" s="137"/>
    </row>
    <row r="669" spans="1:5" ht="21.75">
      <c r="A669" s="134"/>
      <c r="B669" s="26"/>
      <c r="C669" s="135"/>
      <c r="D669" s="136"/>
      <c r="E669" s="137"/>
    </row>
    <row r="670" spans="1:5" ht="21.75">
      <c r="A670" s="134"/>
      <c r="B670" s="26"/>
      <c r="C670" s="135"/>
      <c r="D670" s="136"/>
      <c r="E670" s="137"/>
    </row>
    <row r="671" spans="1:5" ht="21.75">
      <c r="A671" s="134"/>
      <c r="B671" s="26"/>
      <c r="C671" s="135"/>
      <c r="D671" s="136"/>
      <c r="E671" s="137"/>
    </row>
    <row r="672" spans="1:5" ht="21.75">
      <c r="A672" s="134"/>
      <c r="B672" s="26"/>
      <c r="C672" s="135"/>
      <c r="D672" s="136"/>
      <c r="E672" s="137"/>
    </row>
    <row r="673" spans="1:5" ht="21.75">
      <c r="A673" s="134"/>
      <c r="B673" s="26"/>
      <c r="C673" s="135"/>
      <c r="D673" s="136"/>
      <c r="E673" s="137"/>
    </row>
    <row r="674" spans="1:5" ht="21.75">
      <c r="A674" s="134"/>
      <c r="B674" s="26"/>
      <c r="C674" s="135"/>
      <c r="D674" s="136"/>
      <c r="E674" s="137"/>
    </row>
    <row r="675" spans="1:5" ht="21.75">
      <c r="A675" s="134"/>
      <c r="B675" s="26"/>
      <c r="C675" s="135"/>
      <c r="D675" s="136"/>
      <c r="E675" s="137"/>
    </row>
    <row r="676" spans="1:5" ht="21.75">
      <c r="A676" s="134"/>
      <c r="B676" s="26"/>
      <c r="C676" s="135"/>
      <c r="D676" s="136"/>
      <c r="E676" s="137"/>
    </row>
    <row r="677" spans="1:5" ht="21.75">
      <c r="A677" s="134"/>
      <c r="B677" s="26"/>
      <c r="C677" s="135"/>
      <c r="D677" s="136"/>
      <c r="E677" s="137"/>
    </row>
    <row r="678" spans="1:5" ht="21.75">
      <c r="A678" s="134"/>
      <c r="B678" s="26"/>
      <c r="C678" s="135"/>
      <c r="D678" s="136"/>
      <c r="E678" s="137"/>
    </row>
    <row r="679" spans="1:5" ht="21.75">
      <c r="A679" s="134"/>
      <c r="B679" s="26"/>
      <c r="C679" s="135"/>
      <c r="D679" s="136"/>
      <c r="E679" s="137"/>
    </row>
    <row r="680" spans="1:5" ht="21.75">
      <c r="A680" s="134"/>
      <c r="B680" s="26"/>
      <c r="C680" s="135"/>
      <c r="D680" s="136"/>
      <c r="E680" s="137"/>
    </row>
    <row r="681" spans="1:5" ht="21.75">
      <c r="A681" s="134"/>
      <c r="B681" s="26"/>
      <c r="C681" s="135"/>
      <c r="D681" s="136"/>
      <c r="E681" s="137"/>
    </row>
    <row r="682" spans="1:5" ht="21.75">
      <c r="A682" s="134"/>
      <c r="B682" s="26"/>
      <c r="C682" s="135"/>
      <c r="D682" s="136"/>
      <c r="E682" s="137"/>
    </row>
    <row r="683" spans="1:5" ht="21.75">
      <c r="A683" s="134"/>
      <c r="B683" s="26"/>
      <c r="C683" s="135"/>
      <c r="D683" s="136"/>
      <c r="E683" s="137"/>
    </row>
    <row r="684" spans="1:5" ht="21.75">
      <c r="A684" s="134"/>
      <c r="B684" s="26"/>
      <c r="C684" s="135"/>
      <c r="D684" s="136"/>
      <c r="E684" s="137"/>
    </row>
    <row r="685" spans="1:5" ht="21.75">
      <c r="A685" s="134"/>
      <c r="B685" s="26"/>
      <c r="C685" s="135"/>
      <c r="D685" s="136"/>
      <c r="E685" s="137"/>
    </row>
    <row r="686" spans="1:5" ht="21.75">
      <c r="A686" s="134"/>
      <c r="B686" s="26"/>
      <c r="C686" s="135"/>
      <c r="D686" s="136"/>
      <c r="E686" s="137"/>
    </row>
    <row r="687" spans="1:5" ht="21.75">
      <c r="A687" s="134"/>
      <c r="B687" s="26"/>
      <c r="C687" s="135"/>
      <c r="D687" s="136"/>
      <c r="E687" s="137"/>
    </row>
    <row r="688" spans="1:5" ht="21.75">
      <c r="A688" s="134"/>
      <c r="B688" s="26"/>
      <c r="C688" s="135"/>
      <c r="D688" s="136"/>
      <c r="E688" s="137"/>
    </row>
    <row r="689" spans="1:5" ht="21.75">
      <c r="A689" s="134"/>
      <c r="B689" s="26"/>
      <c r="C689" s="135"/>
      <c r="D689" s="136"/>
      <c r="E689" s="137"/>
    </row>
    <row r="690" spans="1:5" ht="21.75">
      <c r="A690" s="134"/>
      <c r="B690" s="26"/>
      <c r="C690" s="135"/>
      <c r="D690" s="136"/>
      <c r="E690" s="137"/>
    </row>
    <row r="691" spans="1:5" ht="21.75">
      <c r="A691" s="134"/>
      <c r="B691" s="26"/>
      <c r="C691" s="135"/>
      <c r="D691" s="136"/>
      <c r="E691" s="137"/>
    </row>
    <row r="692" spans="1:5" ht="21.75">
      <c r="A692" s="134"/>
      <c r="B692" s="26"/>
      <c r="C692" s="135"/>
      <c r="D692" s="136"/>
      <c r="E692" s="137"/>
    </row>
    <row r="693" spans="1:5" ht="21.75">
      <c r="A693" s="134"/>
      <c r="B693" s="26"/>
      <c r="C693" s="135"/>
      <c r="D693" s="136"/>
      <c r="E693" s="137"/>
    </row>
    <row r="694" spans="1:5" ht="21.75">
      <c r="A694" s="134"/>
      <c r="B694" s="26"/>
      <c r="C694" s="135"/>
      <c r="D694" s="136"/>
      <c r="E694" s="137"/>
    </row>
    <row r="695" spans="1:5" ht="21.75">
      <c r="A695" s="134"/>
      <c r="B695" s="26"/>
      <c r="C695" s="135"/>
      <c r="D695" s="136"/>
      <c r="E695" s="137"/>
    </row>
    <row r="696" spans="1:5" ht="21.75">
      <c r="A696" s="134"/>
      <c r="B696" s="26"/>
      <c r="C696" s="135"/>
      <c r="D696" s="136"/>
      <c r="E696" s="137"/>
    </row>
    <row r="697" spans="1:5" ht="21.75">
      <c r="A697" s="134"/>
      <c r="B697" s="26"/>
      <c r="C697" s="135"/>
      <c r="D697" s="136"/>
      <c r="E697" s="137"/>
    </row>
    <row r="698" spans="1:5" ht="21.75">
      <c r="A698" s="134"/>
      <c r="B698" s="26"/>
      <c r="C698" s="135"/>
      <c r="D698" s="136"/>
      <c r="E698" s="137"/>
    </row>
    <row r="699" spans="1:5" ht="21.75">
      <c r="A699" s="134"/>
      <c r="B699" s="26"/>
      <c r="C699" s="135"/>
      <c r="D699" s="136"/>
      <c r="E699" s="137"/>
    </row>
    <row r="700" spans="1:5" ht="21.75">
      <c r="A700" s="134"/>
      <c r="B700" s="26"/>
      <c r="C700" s="135"/>
      <c r="D700" s="136"/>
      <c r="E700" s="137"/>
    </row>
    <row r="701" spans="1:5" ht="21.75">
      <c r="A701" s="134"/>
      <c r="B701" s="26"/>
      <c r="C701" s="135"/>
      <c r="D701" s="136"/>
      <c r="E701" s="137"/>
    </row>
    <row r="702" spans="1:5" ht="21.75">
      <c r="A702" s="134"/>
      <c r="B702" s="26"/>
      <c r="C702" s="135"/>
      <c r="D702" s="136"/>
      <c r="E702" s="137"/>
    </row>
    <row r="703" spans="1:5" ht="21.75">
      <c r="A703" s="134"/>
      <c r="B703" s="26"/>
      <c r="C703" s="135"/>
      <c r="D703" s="136"/>
      <c r="E703" s="137"/>
    </row>
    <row r="704" spans="1:5" ht="21.75">
      <c r="A704" s="134"/>
      <c r="B704" s="26"/>
      <c r="C704" s="135"/>
      <c r="D704" s="136"/>
      <c r="E704" s="137"/>
    </row>
    <row r="705" spans="1:5" ht="21.75">
      <c r="A705" s="134"/>
      <c r="B705" s="26"/>
      <c r="C705" s="135"/>
      <c r="D705" s="136"/>
      <c r="E705" s="137"/>
    </row>
    <row r="706" spans="1:5" ht="21.75">
      <c r="A706" s="134"/>
      <c r="B706" s="26"/>
      <c r="C706" s="135"/>
      <c r="D706" s="136"/>
      <c r="E706" s="137"/>
    </row>
    <row r="707" spans="1:5" ht="21.75">
      <c r="A707" s="134"/>
      <c r="B707" s="26"/>
      <c r="C707" s="135"/>
      <c r="D707" s="136"/>
      <c r="E707" s="137"/>
    </row>
    <row r="708" spans="1:5" ht="21.75">
      <c r="A708" s="134"/>
      <c r="B708" s="26"/>
      <c r="C708" s="135"/>
      <c r="D708" s="136"/>
      <c r="E708" s="137"/>
    </row>
    <row r="709" spans="1:5" ht="21.75">
      <c r="A709" s="134"/>
      <c r="B709" s="26"/>
      <c r="C709" s="135"/>
      <c r="D709" s="136"/>
      <c r="E709" s="137"/>
    </row>
    <row r="710" spans="1:5" ht="21.75">
      <c r="A710" s="134"/>
      <c r="B710" s="26"/>
      <c r="C710" s="135"/>
      <c r="D710" s="136"/>
      <c r="E710" s="137"/>
    </row>
    <row r="711" spans="1:5" ht="21.75">
      <c r="A711" s="134"/>
      <c r="B711" s="26"/>
      <c r="C711" s="135"/>
      <c r="D711" s="136"/>
      <c r="E711" s="137"/>
    </row>
    <row r="712" spans="1:5" ht="21.75">
      <c r="A712" s="134"/>
      <c r="B712" s="26"/>
      <c r="C712" s="135"/>
      <c r="D712" s="136"/>
      <c r="E712" s="137"/>
    </row>
    <row r="713" spans="1:5" ht="21.75">
      <c r="A713" s="134"/>
      <c r="B713" s="26"/>
      <c r="C713" s="135"/>
      <c r="D713" s="136"/>
      <c r="E713" s="137"/>
    </row>
    <row r="714" spans="1:5" ht="21.75">
      <c r="A714" s="134"/>
      <c r="B714" s="26"/>
      <c r="C714" s="135"/>
      <c r="D714" s="136"/>
      <c r="E714" s="137"/>
    </row>
    <row r="715" spans="1:5" ht="21.75">
      <c r="A715" s="134"/>
      <c r="B715" s="26"/>
      <c r="C715" s="135"/>
      <c r="D715" s="136"/>
      <c r="E715" s="137"/>
    </row>
    <row r="716" spans="1:5" ht="21.75">
      <c r="A716" s="134"/>
      <c r="B716" s="26"/>
      <c r="C716" s="135"/>
      <c r="D716" s="136"/>
      <c r="E716" s="137"/>
    </row>
    <row r="717" spans="1:5" ht="21.75">
      <c r="A717" s="134"/>
      <c r="B717" s="26"/>
      <c r="C717" s="135"/>
      <c r="D717" s="136"/>
      <c r="E717" s="137"/>
    </row>
    <row r="718" spans="1:5" ht="21.75">
      <c r="A718" s="134"/>
      <c r="B718" s="26"/>
      <c r="C718" s="135"/>
      <c r="D718" s="136"/>
      <c r="E718" s="137"/>
    </row>
    <row r="719" spans="1:5" ht="21.75">
      <c r="A719" s="134"/>
      <c r="B719" s="26"/>
      <c r="C719" s="135"/>
      <c r="D719" s="136"/>
      <c r="E719" s="137"/>
    </row>
    <row r="720" spans="1:5" ht="21.75">
      <c r="A720" s="134"/>
      <c r="B720" s="26"/>
      <c r="C720" s="135"/>
      <c r="D720" s="136"/>
      <c r="E720" s="137"/>
    </row>
    <row r="721" spans="1:5" ht="21.75">
      <c r="A721" s="134"/>
      <c r="B721" s="26"/>
      <c r="C721" s="135"/>
      <c r="D721" s="136"/>
      <c r="E721" s="137"/>
    </row>
    <row r="722" spans="1:5" ht="21.75">
      <c r="A722" s="134"/>
      <c r="B722" s="26"/>
      <c r="C722" s="135"/>
      <c r="D722" s="136"/>
      <c r="E722" s="137"/>
    </row>
    <row r="723" spans="1:5" ht="21.75">
      <c r="A723" s="134"/>
      <c r="B723" s="26"/>
      <c r="C723" s="135"/>
      <c r="D723" s="136"/>
      <c r="E723" s="137"/>
    </row>
    <row r="724" spans="1:5" ht="21.75">
      <c r="A724" s="134"/>
      <c r="B724" s="26"/>
      <c r="C724" s="135"/>
      <c r="D724" s="136"/>
      <c r="E724" s="137"/>
    </row>
    <row r="725" spans="1:5" ht="21.75">
      <c r="A725" s="134"/>
      <c r="B725" s="26"/>
      <c r="C725" s="135"/>
      <c r="D725" s="136"/>
      <c r="E725" s="137"/>
    </row>
    <row r="726" spans="1:5" ht="21.75">
      <c r="A726" s="134"/>
      <c r="B726" s="26"/>
      <c r="C726" s="135"/>
      <c r="D726" s="136"/>
      <c r="E726" s="137"/>
    </row>
    <row r="727" spans="1:5" ht="21.75">
      <c r="A727" s="134"/>
      <c r="B727" s="26"/>
      <c r="C727" s="135"/>
      <c r="D727" s="136"/>
      <c r="E727" s="137"/>
    </row>
    <row r="728" spans="1:5" ht="21.75">
      <c r="A728" s="134"/>
      <c r="B728" s="26"/>
      <c r="C728" s="135"/>
      <c r="D728" s="136"/>
      <c r="E728" s="137"/>
    </row>
    <row r="729" spans="1:5" ht="21.75">
      <c r="A729" s="134"/>
      <c r="B729" s="26"/>
      <c r="C729" s="135"/>
      <c r="D729" s="136"/>
      <c r="E729" s="137"/>
    </row>
    <row r="730" spans="1:5" ht="21.75">
      <c r="A730" s="134"/>
      <c r="B730" s="26"/>
      <c r="C730" s="135"/>
      <c r="D730" s="136"/>
      <c r="E730" s="137"/>
    </row>
    <row r="731" spans="1:5" ht="21.75">
      <c r="A731" s="134"/>
      <c r="B731" s="26"/>
      <c r="C731" s="135"/>
      <c r="D731" s="136"/>
      <c r="E731" s="137"/>
    </row>
    <row r="732" spans="1:5" ht="21.75">
      <c r="A732" s="134"/>
      <c r="B732" s="26"/>
      <c r="C732" s="135"/>
      <c r="D732" s="136"/>
      <c r="E732" s="137"/>
    </row>
    <row r="733" spans="1:5" ht="21.75">
      <c r="A733" s="134"/>
      <c r="B733" s="26"/>
      <c r="C733" s="135"/>
      <c r="D733" s="136"/>
      <c r="E733" s="137"/>
    </row>
    <row r="734" spans="1:5" ht="21.75">
      <c r="A734" s="134"/>
      <c r="B734" s="26"/>
      <c r="C734" s="135"/>
      <c r="D734" s="136"/>
      <c r="E734" s="137"/>
    </row>
    <row r="735" spans="1:5" ht="21.75">
      <c r="A735" s="134"/>
      <c r="B735" s="26"/>
      <c r="C735" s="135"/>
      <c r="D735" s="136"/>
      <c r="E735" s="137"/>
    </row>
    <row r="736" spans="1:5" ht="21.75">
      <c r="A736" s="134"/>
      <c r="B736" s="26"/>
      <c r="C736" s="135"/>
      <c r="D736" s="136"/>
      <c r="E736" s="137"/>
    </row>
    <row r="737" spans="1:5" ht="21.75">
      <c r="A737" s="134"/>
      <c r="B737" s="26"/>
      <c r="C737" s="135"/>
      <c r="D737" s="136"/>
      <c r="E737" s="137"/>
    </row>
    <row r="738" spans="1:5" ht="21.75">
      <c r="A738" s="134"/>
      <c r="B738" s="26"/>
      <c r="C738" s="135"/>
      <c r="D738" s="136"/>
      <c r="E738" s="137"/>
    </row>
    <row r="739" spans="1:5" ht="21.75">
      <c r="A739" s="134"/>
      <c r="B739" s="26"/>
      <c r="C739" s="135"/>
      <c r="D739" s="136"/>
      <c r="E739" s="137"/>
    </row>
    <row r="740" spans="1:5" ht="21.75">
      <c r="A740" s="134"/>
      <c r="B740" s="26"/>
      <c r="C740" s="135"/>
      <c r="D740" s="136"/>
      <c r="E740" s="137"/>
    </row>
    <row r="741" spans="1:5" ht="21.75">
      <c r="A741" s="134"/>
      <c r="B741" s="26"/>
      <c r="C741" s="135"/>
      <c r="D741" s="136"/>
      <c r="E741" s="137"/>
    </row>
    <row r="742" spans="1:5" ht="21.75">
      <c r="A742" s="134"/>
      <c r="B742" s="26"/>
      <c r="C742" s="135"/>
      <c r="D742" s="136"/>
      <c r="E742" s="137"/>
    </row>
    <row r="743" spans="1:5" ht="21.75">
      <c r="A743" s="134"/>
      <c r="B743" s="26"/>
      <c r="C743" s="135"/>
      <c r="D743" s="136"/>
      <c r="E743" s="137"/>
    </row>
    <row r="744" spans="1:5" ht="21.75">
      <c r="A744" s="134"/>
      <c r="B744" s="26"/>
      <c r="C744" s="135"/>
      <c r="D744" s="136"/>
      <c r="E744" s="137"/>
    </row>
    <row r="745" spans="1:5" ht="21.75">
      <c r="A745" s="134"/>
      <c r="B745" s="26"/>
      <c r="C745" s="135"/>
      <c r="D745" s="136"/>
      <c r="E745" s="137"/>
    </row>
    <row r="746" spans="1:5" ht="21.75">
      <c r="A746" s="134"/>
      <c r="B746" s="26"/>
      <c r="C746" s="135"/>
      <c r="D746" s="136"/>
      <c r="E746" s="137"/>
    </row>
    <row r="747" spans="1:5" ht="21.75">
      <c r="A747" s="134"/>
      <c r="B747" s="26"/>
      <c r="C747" s="135"/>
      <c r="D747" s="136"/>
      <c r="E747" s="137"/>
    </row>
    <row r="748" spans="1:5" ht="21.75">
      <c r="A748" s="134"/>
      <c r="B748" s="26"/>
      <c r="C748" s="135"/>
      <c r="D748" s="136"/>
      <c r="E748" s="137"/>
    </row>
    <row r="749" spans="1:5" ht="21.75">
      <c r="A749" s="134"/>
      <c r="B749" s="26"/>
      <c r="C749" s="135"/>
      <c r="D749" s="136"/>
      <c r="E749" s="137"/>
    </row>
    <row r="750" spans="1:5" ht="21.75">
      <c r="A750" s="134"/>
      <c r="B750" s="26"/>
      <c r="C750" s="135"/>
      <c r="D750" s="136"/>
      <c r="E750" s="137"/>
    </row>
    <row r="751" spans="1:5" ht="21.75">
      <c r="A751" s="134"/>
      <c r="B751" s="26"/>
      <c r="C751" s="135"/>
      <c r="D751" s="136"/>
      <c r="E751" s="137"/>
    </row>
    <row r="752" spans="1:5" ht="21.75">
      <c r="A752" s="134"/>
      <c r="B752" s="26"/>
      <c r="C752" s="135"/>
      <c r="D752" s="136"/>
      <c r="E752" s="137"/>
    </row>
    <row r="753" spans="1:5" ht="21.75">
      <c r="A753" s="134"/>
      <c r="B753" s="26"/>
      <c r="C753" s="135"/>
      <c r="D753" s="136"/>
      <c r="E753" s="137"/>
    </row>
    <row r="754" spans="1:5" ht="21.75">
      <c r="A754" s="134"/>
      <c r="B754" s="26"/>
      <c r="C754" s="135"/>
      <c r="D754" s="136"/>
      <c r="E754" s="137"/>
    </row>
    <row r="755" spans="1:5" ht="21.75">
      <c r="A755" s="134"/>
      <c r="B755" s="26"/>
      <c r="C755" s="135"/>
      <c r="D755" s="136"/>
      <c r="E755" s="137"/>
    </row>
    <row r="756" spans="1:5" ht="21.75">
      <c r="A756" s="134"/>
      <c r="B756" s="26"/>
      <c r="C756" s="135"/>
      <c r="D756" s="136"/>
      <c r="E756" s="137"/>
    </row>
    <row r="757" spans="1:5" ht="21.75">
      <c r="A757" s="134"/>
      <c r="B757" s="26"/>
      <c r="C757" s="135"/>
      <c r="D757" s="136"/>
      <c r="E757" s="137"/>
    </row>
    <row r="758" spans="1:5" ht="21.75">
      <c r="A758" s="134"/>
      <c r="B758" s="26"/>
      <c r="C758" s="135"/>
      <c r="D758" s="136"/>
      <c r="E758" s="137"/>
    </row>
    <row r="759" spans="1:5" ht="21.75">
      <c r="A759" s="134"/>
      <c r="B759" s="26"/>
      <c r="C759" s="135"/>
      <c r="D759" s="136"/>
      <c r="E759" s="137"/>
    </row>
    <row r="760" spans="1:5" ht="21.75">
      <c r="A760" s="134"/>
      <c r="B760" s="26"/>
      <c r="C760" s="135"/>
      <c r="D760" s="136"/>
      <c r="E760" s="137"/>
    </row>
    <row r="761" spans="1:5" ht="21.75">
      <c r="A761" s="134"/>
      <c r="B761" s="26"/>
      <c r="C761" s="135"/>
      <c r="D761" s="136"/>
      <c r="E761" s="137"/>
    </row>
    <row r="762" spans="1:5" ht="21.75">
      <c r="A762" s="134"/>
      <c r="B762" s="26"/>
      <c r="C762" s="135"/>
      <c r="D762" s="136"/>
      <c r="E762" s="137"/>
    </row>
    <row r="763" spans="1:5" ht="21.75">
      <c r="A763" s="134"/>
      <c r="B763" s="26"/>
      <c r="C763" s="135"/>
      <c r="D763" s="136"/>
      <c r="E763" s="137"/>
    </row>
    <row r="764" spans="1:5" ht="21.75">
      <c r="A764" s="134"/>
      <c r="B764" s="26"/>
      <c r="C764" s="135"/>
      <c r="D764" s="136"/>
      <c r="E764" s="137"/>
    </row>
    <row r="765" spans="1:5" ht="21.75">
      <c r="A765" s="134"/>
      <c r="B765" s="26"/>
      <c r="C765" s="135"/>
      <c r="D765" s="136"/>
      <c r="E765" s="137"/>
    </row>
    <row r="766" spans="1:5" ht="21.75">
      <c r="A766" s="134"/>
      <c r="B766" s="26"/>
      <c r="C766" s="135"/>
      <c r="D766" s="136"/>
      <c r="E766" s="137"/>
    </row>
    <row r="767" spans="1:5" ht="21.75">
      <c r="A767" s="134"/>
      <c r="B767" s="26"/>
      <c r="C767" s="135"/>
      <c r="D767" s="136"/>
      <c r="E767" s="137"/>
    </row>
    <row r="768" spans="1:5" ht="21.75">
      <c r="A768" s="134"/>
      <c r="B768" s="26"/>
      <c r="C768" s="135"/>
      <c r="D768" s="136"/>
      <c r="E768" s="137"/>
    </row>
    <row r="769" spans="1:5" ht="21.75">
      <c r="A769" s="134"/>
      <c r="B769" s="26"/>
      <c r="C769" s="135"/>
      <c r="D769" s="136"/>
      <c r="E769" s="137"/>
    </row>
    <row r="770" spans="1:5" ht="21.75">
      <c r="A770" s="134"/>
      <c r="B770" s="26"/>
      <c r="C770" s="135"/>
      <c r="D770" s="136"/>
      <c r="E770" s="137"/>
    </row>
    <row r="771" spans="1:5" ht="21.75">
      <c r="A771" s="134"/>
      <c r="B771" s="26"/>
      <c r="C771" s="135"/>
      <c r="D771" s="136"/>
      <c r="E771" s="137"/>
    </row>
    <row r="772" spans="1:5" ht="21.75">
      <c r="A772" s="134"/>
      <c r="B772" s="26"/>
      <c r="C772" s="135"/>
      <c r="D772" s="136"/>
      <c r="E772" s="137"/>
    </row>
    <row r="773" spans="1:5" ht="21.75">
      <c r="A773" s="134"/>
      <c r="B773" s="26"/>
      <c r="C773" s="135"/>
      <c r="D773" s="136"/>
      <c r="E773" s="137"/>
    </row>
    <row r="774" spans="1:5" ht="21.75">
      <c r="A774" s="134"/>
      <c r="B774" s="26"/>
      <c r="C774" s="135"/>
      <c r="D774" s="136"/>
      <c r="E774" s="137"/>
    </row>
    <row r="775" spans="1:5" ht="21.75">
      <c r="A775" s="134"/>
      <c r="B775" s="26"/>
      <c r="C775" s="135"/>
      <c r="D775" s="136"/>
      <c r="E775" s="137"/>
    </row>
    <row r="776" spans="1:5" ht="21.75">
      <c r="A776" s="134"/>
      <c r="B776" s="26"/>
      <c r="C776" s="135"/>
      <c r="D776" s="136"/>
      <c r="E776" s="137"/>
    </row>
    <row r="777" spans="1:5" ht="21.75">
      <c r="A777" s="134"/>
      <c r="B777" s="26"/>
      <c r="C777" s="135"/>
      <c r="D777" s="136"/>
      <c r="E777" s="137"/>
    </row>
    <row r="778" spans="1:5" ht="21.75">
      <c r="A778" s="134"/>
      <c r="B778" s="26"/>
      <c r="C778" s="135"/>
      <c r="D778" s="136"/>
      <c r="E778" s="137"/>
    </row>
    <row r="779" spans="1:5" ht="21.75">
      <c r="A779" s="134"/>
      <c r="B779" s="26"/>
      <c r="C779" s="135"/>
      <c r="D779" s="136"/>
      <c r="E779" s="137"/>
    </row>
    <row r="780" spans="1:5" ht="21.75">
      <c r="A780" s="134"/>
      <c r="B780" s="26"/>
      <c r="C780" s="135"/>
      <c r="D780" s="136"/>
      <c r="E780" s="137"/>
    </row>
    <row r="781" spans="1:5" ht="21.75">
      <c r="A781" s="134"/>
      <c r="B781" s="26"/>
      <c r="C781" s="135"/>
      <c r="D781" s="136"/>
      <c r="E781" s="137"/>
    </row>
    <row r="782" spans="1:5" ht="21.75">
      <c r="A782" s="134"/>
      <c r="B782" s="26"/>
      <c r="C782" s="135"/>
      <c r="D782" s="136"/>
      <c r="E782" s="137"/>
    </row>
    <row r="783" spans="1:5" ht="21.75">
      <c r="A783" s="134"/>
      <c r="B783" s="26"/>
      <c r="C783" s="135"/>
      <c r="D783" s="136"/>
      <c r="E783" s="137"/>
    </row>
    <row r="784" spans="1:5" ht="21.75">
      <c r="A784" s="134"/>
      <c r="B784" s="26"/>
      <c r="C784" s="135"/>
      <c r="D784" s="136"/>
      <c r="E784" s="137"/>
    </row>
    <row r="785" spans="1:5" ht="21.75">
      <c r="A785" s="134"/>
      <c r="B785" s="26"/>
      <c r="C785" s="135"/>
      <c r="D785" s="136"/>
      <c r="E785" s="137"/>
    </row>
    <row r="786" spans="1:5" ht="21.75">
      <c r="A786" s="134"/>
      <c r="B786" s="26"/>
      <c r="C786" s="135"/>
      <c r="D786" s="136"/>
      <c r="E786" s="137"/>
    </row>
    <row r="787" spans="1:5" ht="21.75">
      <c r="A787" s="134"/>
      <c r="B787" s="26"/>
      <c r="C787" s="135"/>
      <c r="D787" s="136"/>
      <c r="E787" s="137"/>
    </row>
    <row r="788" spans="1:5" ht="21.75">
      <c r="A788" s="134"/>
      <c r="B788" s="26"/>
      <c r="C788" s="135"/>
      <c r="D788" s="136"/>
      <c r="E788" s="137"/>
    </row>
    <row r="789" spans="1:5" ht="21.75">
      <c r="A789" s="134"/>
      <c r="B789" s="26"/>
      <c r="C789" s="135"/>
      <c r="D789" s="136"/>
      <c r="E789" s="137"/>
    </row>
    <row r="790" spans="1:5" ht="21.75">
      <c r="A790" s="134"/>
      <c r="B790" s="26"/>
      <c r="C790" s="135"/>
      <c r="D790" s="136"/>
      <c r="E790" s="137"/>
    </row>
    <row r="791" spans="1:5" ht="21.75">
      <c r="A791" s="134"/>
      <c r="B791" s="26"/>
      <c r="C791" s="135"/>
      <c r="D791" s="136"/>
      <c r="E791" s="137"/>
    </row>
    <row r="792" spans="1:5" ht="21.75">
      <c r="A792" s="134"/>
      <c r="B792" s="26"/>
      <c r="C792" s="135"/>
      <c r="D792" s="136"/>
      <c r="E792" s="137"/>
    </row>
    <row r="793" spans="1:5" ht="21.75">
      <c r="A793" s="134"/>
      <c r="B793" s="26"/>
      <c r="C793" s="135"/>
      <c r="D793" s="136"/>
      <c r="E793" s="137"/>
    </row>
    <row r="794" spans="1:5" ht="21.75">
      <c r="A794" s="134"/>
      <c r="B794" s="26"/>
      <c r="C794" s="135"/>
      <c r="D794" s="136"/>
      <c r="E794" s="137"/>
    </row>
    <row r="795" spans="1:5" ht="21.75">
      <c r="A795" s="134"/>
      <c r="B795" s="26"/>
      <c r="C795" s="135"/>
      <c r="D795" s="136"/>
      <c r="E795" s="137"/>
    </row>
    <row r="796" spans="1:5" ht="21.75">
      <c r="A796" s="134"/>
      <c r="B796" s="26"/>
      <c r="C796" s="135"/>
      <c r="D796" s="136"/>
      <c r="E796" s="137"/>
    </row>
    <row r="797" spans="1:5" ht="21.75">
      <c r="A797" s="134"/>
      <c r="B797" s="26"/>
      <c r="C797" s="135"/>
      <c r="D797" s="136"/>
      <c r="E797" s="137"/>
    </row>
    <row r="798" spans="1:5" ht="21.75">
      <c r="A798" s="134"/>
      <c r="B798" s="26"/>
      <c r="C798" s="135"/>
      <c r="D798" s="136"/>
      <c r="E798" s="137"/>
    </row>
    <row r="799" spans="1:5" ht="21.75">
      <c r="A799" s="134"/>
      <c r="B799" s="26"/>
      <c r="C799" s="135"/>
      <c r="D799" s="136"/>
      <c r="E799" s="137"/>
    </row>
    <row r="800" spans="1:5" ht="21.75">
      <c r="A800" s="134"/>
      <c r="B800" s="26"/>
      <c r="C800" s="135"/>
      <c r="D800" s="136"/>
      <c r="E800" s="137"/>
    </row>
    <row r="801" spans="1:5" ht="21.75">
      <c r="A801" s="134"/>
      <c r="B801" s="26"/>
      <c r="C801" s="135"/>
      <c r="D801" s="136"/>
      <c r="E801" s="137"/>
    </row>
    <row r="802" spans="1:5" ht="21.75">
      <c r="A802" s="134"/>
      <c r="B802" s="26"/>
      <c r="C802" s="135"/>
      <c r="D802" s="136"/>
      <c r="E802" s="137"/>
    </row>
    <row r="803" spans="1:5" ht="21.75">
      <c r="A803" s="134"/>
      <c r="B803" s="26"/>
      <c r="C803" s="135"/>
      <c r="D803" s="136"/>
      <c r="E803" s="137"/>
    </row>
    <row r="804" spans="1:5" ht="21.75">
      <c r="A804" s="134"/>
      <c r="B804" s="26"/>
      <c r="C804" s="135"/>
      <c r="D804" s="136"/>
      <c r="E804" s="137"/>
    </row>
    <row r="805" spans="1:5" ht="21.75">
      <c r="A805" s="134"/>
      <c r="B805" s="26"/>
      <c r="C805" s="135"/>
      <c r="D805" s="136"/>
      <c r="E805" s="137"/>
    </row>
    <row r="806" spans="1:5" ht="21.75">
      <c r="A806" s="134"/>
      <c r="B806" s="26"/>
      <c r="C806" s="135"/>
      <c r="D806" s="136"/>
      <c r="E806" s="137"/>
    </row>
    <row r="807" spans="1:5" ht="21.75">
      <c r="A807" s="134"/>
      <c r="B807" s="26"/>
      <c r="C807" s="135"/>
      <c r="D807" s="136"/>
      <c r="E807" s="137"/>
    </row>
    <row r="808" spans="1:5" ht="21.75">
      <c r="A808" s="134"/>
      <c r="B808" s="26"/>
      <c r="C808" s="135"/>
      <c r="D808" s="136"/>
      <c r="E808" s="137"/>
    </row>
    <row r="809" spans="1:5" ht="21.75">
      <c r="A809" s="134"/>
      <c r="B809" s="26"/>
      <c r="C809" s="135"/>
      <c r="D809" s="136"/>
      <c r="E809" s="137"/>
    </row>
    <row r="810" spans="1:5" ht="21.75">
      <c r="A810" s="134"/>
      <c r="B810" s="26"/>
      <c r="C810" s="135"/>
      <c r="D810" s="136"/>
      <c r="E810" s="137"/>
    </row>
    <row r="811" spans="1:5" ht="21.75">
      <c r="A811" s="134"/>
      <c r="B811" s="26"/>
      <c r="C811" s="135"/>
      <c r="D811" s="136"/>
      <c r="E811" s="137"/>
    </row>
    <row r="812" spans="1:5" ht="21.75">
      <c r="A812" s="134"/>
      <c r="B812" s="26"/>
      <c r="C812" s="135"/>
      <c r="D812" s="136"/>
      <c r="E812" s="137"/>
    </row>
    <row r="813" spans="1:5" ht="21.75">
      <c r="A813" s="134"/>
      <c r="B813" s="26"/>
      <c r="C813" s="135"/>
      <c r="D813" s="136"/>
      <c r="E813" s="137"/>
    </row>
    <row r="814" spans="1:5" ht="21.75">
      <c r="A814" s="134"/>
      <c r="B814" s="26"/>
      <c r="C814" s="135"/>
      <c r="D814" s="136"/>
      <c r="E814" s="137"/>
    </row>
    <row r="815" spans="1:5" ht="21.75">
      <c r="A815" s="134"/>
      <c r="B815" s="26"/>
      <c r="C815" s="135"/>
      <c r="D815" s="136"/>
      <c r="E815" s="137"/>
    </row>
    <row r="816" spans="1:5" ht="21.75">
      <c r="A816" s="134"/>
      <c r="B816" s="26"/>
      <c r="C816" s="135"/>
      <c r="D816" s="136"/>
      <c r="E816" s="137"/>
    </row>
    <row r="817" spans="1:5" ht="21.75">
      <c r="A817" s="134"/>
      <c r="B817" s="26"/>
      <c r="C817" s="135"/>
      <c r="D817" s="136"/>
      <c r="E817" s="137"/>
    </row>
    <row r="818" spans="1:5" ht="21.75">
      <c r="A818" s="134"/>
      <c r="B818" s="26"/>
      <c r="C818" s="135"/>
      <c r="D818" s="136"/>
      <c r="E818" s="137"/>
    </row>
    <row r="819" spans="1:5" ht="21.75">
      <c r="A819" s="134"/>
      <c r="B819" s="26"/>
      <c r="C819" s="135"/>
      <c r="D819" s="136"/>
      <c r="E819" s="137"/>
    </row>
    <row r="820" spans="1:5" ht="21.75">
      <c r="A820" s="134"/>
      <c r="B820" s="26"/>
      <c r="C820" s="135"/>
      <c r="D820" s="136"/>
      <c r="E820" s="137"/>
    </row>
    <row r="821" spans="1:5" ht="21.75">
      <c r="A821" s="134"/>
      <c r="B821" s="26"/>
      <c r="C821" s="135"/>
      <c r="D821" s="136"/>
      <c r="E821" s="137"/>
    </row>
    <row r="822" spans="1:5" ht="21.75">
      <c r="A822" s="134"/>
      <c r="B822" s="26"/>
      <c r="C822" s="135"/>
      <c r="D822" s="136"/>
      <c r="E822" s="137"/>
    </row>
    <row r="823" spans="1:5" ht="21.75">
      <c r="A823" s="134"/>
      <c r="B823" s="26"/>
      <c r="C823" s="135"/>
      <c r="D823" s="136"/>
      <c r="E823" s="137"/>
    </row>
    <row r="824" spans="1:5" ht="21.75">
      <c r="A824" s="134"/>
      <c r="B824" s="26"/>
      <c r="C824" s="135"/>
      <c r="D824" s="136"/>
      <c r="E824" s="137"/>
    </row>
    <row r="825" spans="1:5" ht="21.75">
      <c r="A825" s="134"/>
      <c r="B825" s="26"/>
      <c r="C825" s="135"/>
      <c r="D825" s="136"/>
      <c r="E825" s="137"/>
    </row>
    <row r="826" spans="1:5" ht="21.75">
      <c r="A826" s="134"/>
      <c r="B826" s="26"/>
      <c r="C826" s="135"/>
      <c r="D826" s="136"/>
      <c r="E826" s="137"/>
    </row>
    <row r="827" spans="1:5" ht="21.75">
      <c r="A827" s="134"/>
      <c r="B827" s="26"/>
      <c r="C827" s="135"/>
      <c r="D827" s="136"/>
      <c r="E827" s="137"/>
    </row>
    <row r="828" spans="1:5" ht="21.75">
      <c r="A828" s="134"/>
      <c r="B828" s="26"/>
      <c r="C828" s="135"/>
      <c r="D828" s="136"/>
      <c r="E828" s="137"/>
    </row>
    <row r="829" spans="1:5" ht="21.75">
      <c r="A829" s="134"/>
      <c r="B829" s="26"/>
      <c r="C829" s="135"/>
      <c r="D829" s="136"/>
      <c r="E829" s="137"/>
    </row>
    <row r="830" spans="1:5" ht="21.75">
      <c r="A830" s="134"/>
      <c r="B830" s="26"/>
      <c r="C830" s="135"/>
      <c r="D830" s="136"/>
      <c r="E830" s="137"/>
    </row>
    <row r="831" spans="1:5" ht="21.75">
      <c r="A831" s="134"/>
      <c r="B831" s="26"/>
      <c r="C831" s="135"/>
      <c r="D831" s="136"/>
      <c r="E831" s="137"/>
    </row>
    <row r="832" spans="1:5" ht="21.75">
      <c r="A832" s="134"/>
      <c r="B832" s="26"/>
      <c r="C832" s="135"/>
      <c r="D832" s="136"/>
      <c r="E832" s="137"/>
    </row>
    <row r="833" spans="1:5" ht="21.75">
      <c r="A833" s="134"/>
      <c r="B833" s="26"/>
      <c r="C833" s="135"/>
      <c r="D833" s="136"/>
      <c r="E833" s="137"/>
    </row>
    <row r="834" spans="1:5" ht="21.75">
      <c r="A834" s="134"/>
      <c r="B834" s="26"/>
      <c r="C834" s="135"/>
      <c r="D834" s="136"/>
      <c r="E834" s="137"/>
    </row>
    <row r="835" spans="1:5" ht="21.75">
      <c r="A835" s="134"/>
      <c r="B835" s="26"/>
      <c r="C835" s="135"/>
      <c r="D835" s="136"/>
      <c r="E835" s="137"/>
    </row>
    <row r="836" spans="1:5" ht="21.75">
      <c r="A836" s="134"/>
      <c r="B836" s="26"/>
      <c r="C836" s="135"/>
      <c r="D836" s="136"/>
      <c r="E836" s="137"/>
    </row>
    <row r="837" spans="1:5" ht="21.75">
      <c r="A837" s="134"/>
      <c r="B837" s="26"/>
      <c r="C837" s="135"/>
      <c r="D837" s="136"/>
      <c r="E837" s="137"/>
    </row>
    <row r="838" spans="1:5" ht="21.75">
      <c r="A838" s="134"/>
      <c r="B838" s="26"/>
      <c r="C838" s="135"/>
      <c r="D838" s="136"/>
      <c r="E838" s="137"/>
    </row>
    <row r="839" spans="1:5" ht="21.75">
      <c r="A839" s="134"/>
      <c r="B839" s="26"/>
      <c r="C839" s="135"/>
      <c r="D839" s="136"/>
      <c r="E839" s="137"/>
    </row>
    <row r="840" spans="1:5" ht="21.75">
      <c r="A840" s="134"/>
      <c r="B840" s="26"/>
      <c r="C840" s="135"/>
      <c r="D840" s="136"/>
      <c r="E840" s="137"/>
    </row>
    <row r="841" spans="1:5" ht="21.75">
      <c r="A841" s="134"/>
      <c r="B841" s="26"/>
      <c r="C841" s="135"/>
      <c r="D841" s="136"/>
      <c r="E841" s="137"/>
    </row>
    <row r="842" spans="1:5" ht="21.75">
      <c r="A842" s="134"/>
      <c r="B842" s="26"/>
      <c r="C842" s="135"/>
      <c r="D842" s="136"/>
      <c r="E842" s="137"/>
    </row>
    <row r="843" spans="1:5" ht="21.75">
      <c r="A843" s="134"/>
      <c r="B843" s="26"/>
      <c r="C843" s="135"/>
      <c r="D843" s="136"/>
      <c r="E843" s="137"/>
    </row>
    <row r="844" spans="1:5" ht="21.75">
      <c r="A844" s="134"/>
      <c r="B844" s="26"/>
      <c r="C844" s="135"/>
      <c r="D844" s="136"/>
      <c r="E844" s="137"/>
    </row>
    <row r="845" spans="1:5" ht="21.75">
      <c r="A845" s="134"/>
      <c r="B845" s="26"/>
      <c r="C845" s="135"/>
      <c r="D845" s="136"/>
      <c r="E845" s="137"/>
    </row>
    <row r="846" spans="1:5" ht="21.75">
      <c r="A846" s="134"/>
      <c r="B846" s="26"/>
      <c r="C846" s="135"/>
      <c r="D846" s="136"/>
      <c r="E846" s="137"/>
    </row>
    <row r="847" spans="1:5" ht="21.75">
      <c r="A847" s="134"/>
      <c r="B847" s="26"/>
      <c r="C847" s="135"/>
      <c r="D847" s="136"/>
      <c r="E847" s="137"/>
    </row>
    <row r="848" spans="1:5" ht="21.75">
      <c r="A848" s="134"/>
      <c r="B848" s="26"/>
      <c r="C848" s="135"/>
      <c r="D848" s="136"/>
      <c r="E848" s="137"/>
    </row>
    <row r="849" spans="1:5" ht="21.75">
      <c r="A849" s="134"/>
      <c r="B849" s="26"/>
      <c r="C849" s="135"/>
      <c r="D849" s="136"/>
      <c r="E849" s="137"/>
    </row>
    <row r="850" spans="1:5" ht="21.75">
      <c r="A850" s="134"/>
      <c r="B850" s="26"/>
      <c r="C850" s="135"/>
      <c r="D850" s="136"/>
      <c r="E850" s="137"/>
    </row>
    <row r="851" spans="1:5" ht="21.75">
      <c r="A851" s="134"/>
      <c r="B851" s="26"/>
      <c r="C851" s="135"/>
      <c r="D851" s="136"/>
      <c r="E851" s="137"/>
    </row>
    <row r="852" spans="1:5" ht="21.75">
      <c r="A852" s="134"/>
      <c r="B852" s="26"/>
      <c r="C852" s="135"/>
      <c r="D852" s="136"/>
      <c r="E852" s="137"/>
    </row>
    <row r="853" spans="1:5" ht="21.75">
      <c r="A853" s="134"/>
      <c r="B853" s="26"/>
      <c r="C853" s="135"/>
      <c r="D853" s="136"/>
      <c r="E853" s="137"/>
    </row>
    <row r="854" spans="1:5" ht="21.75">
      <c r="A854" s="134"/>
      <c r="B854" s="26"/>
      <c r="C854" s="135"/>
      <c r="D854" s="136"/>
      <c r="E854" s="137"/>
    </row>
    <row r="855" spans="1:5" ht="21.75">
      <c r="A855" s="134"/>
      <c r="B855" s="26"/>
      <c r="C855" s="135"/>
      <c r="D855" s="136"/>
      <c r="E855" s="137"/>
    </row>
    <row r="856" spans="1:5" ht="21.75">
      <c r="A856" s="134"/>
      <c r="B856" s="26"/>
      <c r="C856" s="135"/>
      <c r="D856" s="136"/>
      <c r="E856" s="137"/>
    </row>
    <row r="857" spans="1:5" ht="21.75">
      <c r="A857" s="134"/>
      <c r="B857" s="26"/>
      <c r="C857" s="135"/>
      <c r="D857" s="136"/>
      <c r="E857" s="137"/>
    </row>
    <row r="858" spans="1:5" ht="21.75">
      <c r="A858" s="134"/>
      <c r="B858" s="26"/>
      <c r="C858" s="135"/>
      <c r="D858" s="136"/>
      <c r="E858" s="137"/>
    </row>
    <row r="859" spans="1:5" ht="21.75">
      <c r="A859" s="134"/>
      <c r="B859" s="26"/>
      <c r="C859" s="135"/>
      <c r="D859" s="136"/>
      <c r="E859" s="137"/>
    </row>
    <row r="860" spans="1:5" ht="21.75">
      <c r="A860" s="134"/>
      <c r="B860" s="26"/>
      <c r="C860" s="135"/>
      <c r="D860" s="136"/>
      <c r="E860" s="137"/>
    </row>
    <row r="861" spans="1:5" ht="21.75">
      <c r="A861" s="134"/>
      <c r="B861" s="26"/>
      <c r="C861" s="135"/>
      <c r="D861" s="136"/>
      <c r="E861" s="137"/>
    </row>
    <row r="862" spans="1:5" ht="21.75">
      <c r="A862" s="134"/>
      <c r="B862" s="26"/>
      <c r="C862" s="135"/>
      <c r="D862" s="136"/>
      <c r="E862" s="137"/>
    </row>
    <row r="863" spans="1:5" ht="21.75">
      <c r="A863" s="134"/>
      <c r="B863" s="26"/>
      <c r="C863" s="135"/>
      <c r="D863" s="136"/>
      <c r="E863" s="137"/>
    </row>
    <row r="864" spans="1:5" ht="21.75">
      <c r="A864" s="134"/>
      <c r="B864" s="26"/>
      <c r="C864" s="135"/>
      <c r="D864" s="136"/>
      <c r="E864" s="137"/>
    </row>
    <row r="865" spans="1:5" ht="21.75">
      <c r="A865" s="134"/>
      <c r="B865" s="26"/>
      <c r="C865" s="135"/>
      <c r="D865" s="136"/>
      <c r="E865" s="137"/>
    </row>
    <row r="866" spans="1:5" ht="21.75">
      <c r="A866" s="134"/>
      <c r="B866" s="26"/>
      <c r="C866" s="135"/>
      <c r="D866" s="136"/>
      <c r="E866" s="137"/>
    </row>
    <row r="867" spans="1:5" ht="21.75">
      <c r="A867" s="134"/>
      <c r="B867" s="26"/>
      <c r="C867" s="135"/>
      <c r="D867" s="136"/>
      <c r="E867" s="137"/>
    </row>
    <row r="868" spans="1:5" ht="21.75">
      <c r="A868" s="134"/>
      <c r="B868" s="26"/>
      <c r="C868" s="135"/>
      <c r="D868" s="136"/>
      <c r="E868" s="137"/>
    </row>
    <row r="869" spans="1:5" ht="21.75">
      <c r="A869" s="134"/>
      <c r="B869" s="26"/>
      <c r="C869" s="135"/>
      <c r="D869" s="136"/>
      <c r="E869" s="137"/>
    </row>
    <row r="870" spans="1:5" ht="21.75">
      <c r="A870" s="134"/>
      <c r="B870" s="26"/>
      <c r="C870" s="135"/>
      <c r="D870" s="136"/>
      <c r="E870" s="137"/>
    </row>
    <row r="871" spans="1:5" ht="21.75">
      <c r="A871" s="134"/>
      <c r="B871" s="26"/>
      <c r="C871" s="135"/>
      <c r="D871" s="136"/>
      <c r="E871" s="137"/>
    </row>
    <row r="872" spans="1:5" ht="21.75">
      <c r="A872" s="134"/>
      <c r="B872" s="26"/>
      <c r="C872" s="135"/>
      <c r="D872" s="136"/>
      <c r="E872" s="137"/>
    </row>
    <row r="873" spans="1:5" ht="21.75">
      <c r="A873" s="134"/>
      <c r="B873" s="26"/>
      <c r="C873" s="135"/>
      <c r="D873" s="136"/>
      <c r="E873" s="137"/>
    </row>
    <row r="874" spans="1:5" ht="21.75">
      <c r="A874" s="134"/>
      <c r="B874" s="26"/>
      <c r="C874" s="135"/>
      <c r="D874" s="136"/>
      <c r="E874" s="137"/>
    </row>
    <row r="875" spans="1:5" ht="21.75">
      <c r="A875" s="134"/>
      <c r="B875" s="26"/>
      <c r="C875" s="135"/>
      <c r="D875" s="136"/>
      <c r="E875" s="137"/>
    </row>
    <row r="876" spans="1:5" ht="21.75">
      <c r="A876" s="134"/>
      <c r="B876" s="26"/>
      <c r="C876" s="135"/>
      <c r="D876" s="136"/>
      <c r="E876" s="137"/>
    </row>
    <row r="877" spans="1:5" ht="21.75">
      <c r="A877" s="134"/>
      <c r="B877" s="26"/>
      <c r="C877" s="135"/>
      <c r="D877" s="136"/>
      <c r="E877" s="137"/>
    </row>
    <row r="878" spans="1:5" ht="21.75">
      <c r="A878" s="134"/>
      <c r="B878" s="26"/>
      <c r="C878" s="135"/>
      <c r="D878" s="136"/>
      <c r="E878" s="137"/>
    </row>
    <row r="879" spans="1:5" ht="21.75">
      <c r="A879" s="134"/>
      <c r="B879" s="26"/>
      <c r="C879" s="135"/>
      <c r="D879" s="136"/>
      <c r="E879" s="137"/>
    </row>
    <row r="880" spans="1:5" ht="21.75">
      <c r="A880" s="134"/>
      <c r="B880" s="26"/>
      <c r="C880" s="135"/>
      <c r="D880" s="136"/>
      <c r="E880" s="137"/>
    </row>
    <row r="881" spans="1:5" ht="21.75">
      <c r="A881" s="134"/>
      <c r="B881" s="26"/>
      <c r="C881" s="135"/>
      <c r="D881" s="136"/>
      <c r="E881" s="137"/>
    </row>
    <row r="882" spans="1:5" ht="21.75">
      <c r="A882" s="134"/>
      <c r="B882" s="26"/>
      <c r="C882" s="135"/>
      <c r="D882" s="136"/>
      <c r="E882" s="137"/>
    </row>
    <row r="883" spans="1:5" ht="21.75">
      <c r="A883" s="134"/>
      <c r="B883" s="26"/>
      <c r="C883" s="135"/>
      <c r="D883" s="136"/>
      <c r="E883" s="137"/>
    </row>
    <row r="884" spans="1:5" ht="21.75">
      <c r="A884" s="134"/>
      <c r="B884" s="26"/>
      <c r="C884" s="135"/>
      <c r="D884" s="136"/>
      <c r="E884" s="137"/>
    </row>
    <row r="885" spans="1:5" ht="21.75">
      <c r="A885" s="134"/>
      <c r="B885" s="26"/>
      <c r="C885" s="135"/>
      <c r="D885" s="136"/>
      <c r="E885" s="137"/>
    </row>
    <row r="886" spans="1:5" ht="21.75">
      <c r="A886" s="134"/>
      <c r="B886" s="26"/>
      <c r="C886" s="135"/>
      <c r="D886" s="136"/>
      <c r="E886" s="137"/>
    </row>
    <row r="887" spans="1:5" ht="21.75">
      <c r="A887" s="134"/>
      <c r="B887" s="26"/>
      <c r="C887" s="135"/>
      <c r="D887" s="136"/>
      <c r="E887" s="137"/>
    </row>
    <row r="888" spans="1:5" ht="21.75">
      <c r="A888" s="134"/>
      <c r="B888" s="26"/>
      <c r="C888" s="135"/>
      <c r="D888" s="136"/>
      <c r="E888" s="137"/>
    </row>
    <row r="889" spans="1:5" ht="21.75">
      <c r="A889" s="134"/>
      <c r="B889" s="26"/>
      <c r="C889" s="135"/>
      <c r="D889" s="136"/>
      <c r="E889" s="137"/>
    </row>
    <row r="890" spans="1:5" ht="21.75">
      <c r="A890" s="134"/>
      <c r="B890" s="26"/>
      <c r="C890" s="135"/>
      <c r="D890" s="136"/>
      <c r="E890" s="137"/>
    </row>
    <row r="891" spans="1:5" ht="21.75">
      <c r="A891" s="134"/>
      <c r="B891" s="26"/>
      <c r="C891" s="135"/>
      <c r="D891" s="136"/>
      <c r="E891" s="137"/>
    </row>
    <row r="892" spans="1:5" ht="21.75">
      <c r="A892" s="134"/>
      <c r="B892" s="26"/>
      <c r="C892" s="135"/>
      <c r="D892" s="136"/>
      <c r="E892" s="137"/>
    </row>
    <row r="893" spans="1:5" ht="21.75">
      <c r="A893" s="134"/>
      <c r="B893" s="26"/>
      <c r="C893" s="135"/>
      <c r="D893" s="136"/>
      <c r="E893" s="137"/>
    </row>
    <row r="894" spans="1:5" ht="21.75">
      <c r="A894" s="134"/>
      <c r="B894" s="26"/>
      <c r="C894" s="135"/>
      <c r="D894" s="136"/>
      <c r="E894" s="137"/>
    </row>
    <row r="895" spans="1:5" ht="21.75">
      <c r="A895" s="134"/>
      <c r="B895" s="26"/>
      <c r="C895" s="135"/>
      <c r="D895" s="136"/>
      <c r="E895" s="137"/>
    </row>
    <row r="896" spans="1:5" ht="21.75">
      <c r="A896" s="134"/>
      <c r="B896" s="26"/>
      <c r="C896" s="135"/>
      <c r="D896" s="136"/>
      <c r="E896" s="137"/>
    </row>
    <row r="897" spans="1:5" ht="21.75">
      <c r="A897" s="134"/>
      <c r="B897" s="26"/>
      <c r="C897" s="135"/>
      <c r="D897" s="136"/>
      <c r="E897" s="137"/>
    </row>
    <row r="898" spans="1:5" ht="21.75">
      <c r="A898" s="134"/>
      <c r="B898" s="26"/>
      <c r="C898" s="135"/>
      <c r="D898" s="136"/>
      <c r="E898" s="137"/>
    </row>
    <row r="899" spans="1:5" ht="21.75">
      <c r="A899" s="134"/>
      <c r="B899" s="26"/>
      <c r="C899" s="135"/>
      <c r="D899" s="136"/>
      <c r="E899" s="137"/>
    </row>
    <row r="900" spans="1:5" ht="21.75">
      <c r="A900" s="134"/>
      <c r="B900" s="26"/>
      <c r="C900" s="135"/>
      <c r="D900" s="136"/>
      <c r="E900" s="137"/>
    </row>
    <row r="901" spans="1:5" ht="21.75">
      <c r="A901" s="134"/>
      <c r="B901" s="26"/>
      <c r="C901" s="135"/>
      <c r="D901" s="136"/>
      <c r="E901" s="137"/>
    </row>
    <row r="902" spans="1:5" ht="21.75">
      <c r="A902" s="134"/>
      <c r="B902" s="26"/>
      <c r="C902" s="135"/>
      <c r="D902" s="136"/>
      <c r="E902" s="137"/>
    </row>
    <row r="903" spans="1:5" ht="21.75">
      <c r="A903" s="134"/>
      <c r="B903" s="26"/>
      <c r="C903" s="135"/>
      <c r="D903" s="136"/>
      <c r="E903" s="137"/>
    </row>
    <row r="904" spans="1:5" ht="21.75">
      <c r="A904" s="134"/>
      <c r="B904" s="26"/>
      <c r="C904" s="135"/>
      <c r="D904" s="136"/>
      <c r="E904" s="137"/>
    </row>
    <row r="905" spans="1:5" ht="21.75">
      <c r="A905" s="134"/>
      <c r="B905" s="26"/>
      <c r="C905" s="135"/>
      <c r="D905" s="136"/>
      <c r="E905" s="137"/>
    </row>
    <row r="906" spans="1:5" ht="21.75">
      <c r="A906" s="134"/>
      <c r="B906" s="26"/>
      <c r="C906" s="135"/>
      <c r="D906" s="136"/>
      <c r="E906" s="137"/>
    </row>
    <row r="907" spans="1:5" ht="21.75">
      <c r="A907" s="134"/>
      <c r="B907" s="26"/>
      <c r="C907" s="135"/>
      <c r="D907" s="136"/>
      <c r="E907" s="137"/>
    </row>
    <row r="908" spans="1:5" ht="21.75">
      <c r="A908" s="134"/>
      <c r="B908" s="26"/>
      <c r="C908" s="135"/>
      <c r="D908" s="136"/>
      <c r="E908" s="137"/>
    </row>
    <row r="909" spans="1:5" ht="21.75">
      <c r="A909" s="134"/>
      <c r="B909" s="26"/>
      <c r="C909" s="135"/>
      <c r="D909" s="136"/>
      <c r="E909" s="137"/>
    </row>
    <row r="910" spans="1:5" ht="21.75">
      <c r="A910" s="134"/>
      <c r="B910" s="26"/>
      <c r="C910" s="135"/>
      <c r="D910" s="136"/>
      <c r="E910" s="137"/>
    </row>
    <row r="911" spans="1:5" ht="21.75">
      <c r="A911" s="134"/>
      <c r="B911" s="26"/>
      <c r="C911" s="135"/>
      <c r="D911" s="136"/>
      <c r="E911" s="137"/>
    </row>
    <row r="912" spans="1:5" ht="21.75">
      <c r="A912" s="134"/>
      <c r="B912" s="26"/>
      <c r="C912" s="135"/>
      <c r="D912" s="136"/>
      <c r="E912" s="137"/>
    </row>
    <row r="913" spans="1:5" ht="21.75">
      <c r="A913" s="134"/>
      <c r="B913" s="26"/>
      <c r="C913" s="135"/>
      <c r="D913" s="136"/>
      <c r="E913" s="137"/>
    </row>
    <row r="914" spans="1:5" ht="21.75">
      <c r="A914" s="134"/>
      <c r="B914" s="26"/>
      <c r="C914" s="135"/>
      <c r="D914" s="136"/>
      <c r="E914" s="137"/>
    </row>
    <row r="915" spans="1:5" ht="21.75">
      <c r="A915" s="134"/>
      <c r="B915" s="26"/>
      <c r="C915" s="135"/>
      <c r="D915" s="136"/>
      <c r="E915" s="137"/>
    </row>
    <row r="916" spans="1:5" ht="21.75">
      <c r="A916" s="134"/>
      <c r="B916" s="26"/>
      <c r="C916" s="135"/>
      <c r="D916" s="136"/>
      <c r="E916" s="137"/>
    </row>
    <row r="917" spans="1:5" ht="21.75">
      <c r="A917" s="134"/>
      <c r="B917" s="26"/>
      <c r="C917" s="135"/>
      <c r="D917" s="136"/>
      <c r="E917" s="137"/>
    </row>
    <row r="918" spans="1:5" ht="21.75">
      <c r="A918" s="134"/>
      <c r="B918" s="26"/>
      <c r="C918" s="135"/>
      <c r="D918" s="136"/>
      <c r="E918" s="137"/>
    </row>
    <row r="919" spans="1:5" ht="21.75">
      <c r="A919" s="134"/>
      <c r="B919" s="26"/>
      <c r="C919" s="135"/>
      <c r="D919" s="136"/>
      <c r="E919" s="137"/>
    </row>
    <row r="920" spans="1:5" ht="21.75">
      <c r="A920" s="134"/>
      <c r="B920" s="26"/>
      <c r="C920" s="135"/>
      <c r="D920" s="136"/>
      <c r="E920" s="137"/>
    </row>
    <row r="921" spans="1:5" ht="21.75">
      <c r="A921" s="134"/>
      <c r="B921" s="26"/>
      <c r="C921" s="135"/>
      <c r="D921" s="136"/>
      <c r="E921" s="137"/>
    </row>
    <row r="922" spans="1:5" ht="21.75">
      <c r="A922" s="134"/>
      <c r="B922" s="26"/>
      <c r="C922" s="135"/>
      <c r="D922" s="136"/>
      <c r="E922" s="137"/>
    </row>
    <row r="923" spans="1:5" ht="21.75">
      <c r="A923" s="134"/>
      <c r="B923" s="26"/>
      <c r="C923" s="135"/>
      <c r="D923" s="136"/>
      <c r="E923" s="137"/>
    </row>
    <row r="924" spans="1:5" ht="21.75">
      <c r="A924" s="134"/>
      <c r="B924" s="26"/>
      <c r="C924" s="135"/>
      <c r="D924" s="136"/>
      <c r="E924" s="137"/>
    </row>
    <row r="925" spans="1:5" ht="21.75">
      <c r="A925" s="134"/>
      <c r="B925" s="26"/>
      <c r="C925" s="135"/>
      <c r="D925" s="136"/>
      <c r="E925" s="137"/>
    </row>
    <row r="926" spans="1:5" ht="21.75">
      <c r="A926" s="134"/>
      <c r="B926" s="26"/>
      <c r="C926" s="135"/>
      <c r="D926" s="136"/>
      <c r="E926" s="137"/>
    </row>
    <row r="927" spans="1:5" ht="21.75">
      <c r="A927" s="134"/>
      <c r="B927" s="26"/>
      <c r="C927" s="135"/>
      <c r="D927" s="136"/>
      <c r="E927" s="137"/>
    </row>
    <row r="928" spans="1:5" ht="21.75">
      <c r="A928" s="134"/>
      <c r="B928" s="26"/>
      <c r="C928" s="135"/>
      <c r="D928" s="136"/>
      <c r="E928" s="137"/>
    </row>
    <row r="929" spans="1:5" ht="21.75">
      <c r="A929" s="134"/>
      <c r="B929" s="26"/>
      <c r="C929" s="135"/>
      <c r="D929" s="136"/>
      <c r="E929" s="137"/>
    </row>
    <row r="930" spans="1:5" ht="21.75">
      <c r="A930" s="134"/>
      <c r="B930" s="26"/>
      <c r="C930" s="135"/>
      <c r="D930" s="136"/>
      <c r="E930" s="137"/>
    </row>
    <row r="931" spans="1:5" ht="21.75">
      <c r="A931" s="134"/>
      <c r="B931" s="26"/>
      <c r="C931" s="135"/>
      <c r="D931" s="136"/>
      <c r="E931" s="137"/>
    </row>
    <row r="932" spans="1:5" ht="21.75">
      <c r="A932" s="134"/>
      <c r="B932" s="26"/>
      <c r="C932" s="135"/>
      <c r="D932" s="136"/>
      <c r="E932" s="137"/>
    </row>
    <row r="933" spans="1:5" ht="21.75">
      <c r="A933" s="134"/>
      <c r="B933" s="26"/>
      <c r="C933" s="135"/>
      <c r="D933" s="136"/>
      <c r="E933" s="137"/>
    </row>
    <row r="934" spans="1:5" ht="21.75">
      <c r="A934" s="134"/>
      <c r="B934" s="26"/>
      <c r="C934" s="135"/>
      <c r="D934" s="136"/>
      <c r="E934" s="137"/>
    </row>
    <row r="935" spans="1:5" ht="21.75">
      <c r="A935" s="134"/>
      <c r="B935" s="26"/>
      <c r="C935" s="135"/>
      <c r="D935" s="136"/>
      <c r="E935" s="137"/>
    </row>
    <row r="936" spans="1:5" ht="21.75">
      <c r="A936" s="134"/>
      <c r="B936" s="26"/>
      <c r="C936" s="135"/>
      <c r="D936" s="136"/>
      <c r="E936" s="137"/>
    </row>
    <row r="937" spans="1:5" ht="21.75">
      <c r="A937" s="134"/>
      <c r="B937" s="26"/>
      <c r="C937" s="135"/>
      <c r="D937" s="136"/>
      <c r="E937" s="137"/>
    </row>
    <row r="938" spans="1:5" ht="21.75">
      <c r="A938" s="134"/>
      <c r="B938" s="26"/>
      <c r="C938" s="135"/>
      <c r="D938" s="136"/>
      <c r="E938" s="137"/>
    </row>
    <row r="939" spans="1:5" ht="21.75">
      <c r="A939" s="134"/>
      <c r="B939" s="26"/>
      <c r="C939" s="135"/>
      <c r="D939" s="136"/>
      <c r="E939" s="137"/>
    </row>
    <row r="940" spans="1:5" ht="21.75">
      <c r="A940" s="134"/>
      <c r="B940" s="26"/>
      <c r="C940" s="135"/>
      <c r="D940" s="136"/>
      <c r="E940" s="137"/>
    </row>
    <row r="941" spans="1:5" ht="21.75">
      <c r="A941" s="134"/>
      <c r="B941" s="26"/>
      <c r="C941" s="135"/>
      <c r="D941" s="136"/>
      <c r="E941" s="137"/>
    </row>
    <row r="942" spans="1:5" ht="21.75">
      <c r="A942" s="134"/>
      <c r="B942" s="26"/>
      <c r="C942" s="135"/>
      <c r="D942" s="136"/>
      <c r="E942" s="137"/>
    </row>
    <row r="943" spans="1:5" ht="21.75">
      <c r="A943" s="134"/>
      <c r="B943" s="26"/>
      <c r="C943" s="135"/>
      <c r="D943" s="136"/>
      <c r="E943" s="137"/>
    </row>
    <row r="944" spans="1:5" ht="21.75">
      <c r="A944" s="134"/>
      <c r="B944" s="26"/>
      <c r="C944" s="135"/>
      <c r="D944" s="136"/>
      <c r="E944" s="137"/>
    </row>
    <row r="945" spans="1:5" ht="21.75">
      <c r="A945" s="134"/>
      <c r="B945" s="26"/>
      <c r="C945" s="135"/>
      <c r="D945" s="136"/>
      <c r="E945" s="137"/>
    </row>
    <row r="946" spans="1:5" ht="21.75">
      <c r="A946" s="134"/>
      <c r="B946" s="26"/>
      <c r="C946" s="135"/>
      <c r="D946" s="136"/>
      <c r="E946" s="137"/>
    </row>
    <row r="947" spans="1:5" ht="21.75">
      <c r="A947" s="134"/>
      <c r="B947" s="26"/>
      <c r="C947" s="135"/>
      <c r="D947" s="136"/>
      <c r="E947" s="137"/>
    </row>
    <row r="948" spans="1:5" ht="21.75">
      <c r="A948" s="134"/>
      <c r="B948" s="26"/>
      <c r="C948" s="135"/>
      <c r="D948" s="136"/>
      <c r="E948" s="137"/>
    </row>
    <row r="949" spans="1:5" ht="21.75">
      <c r="A949" s="134"/>
      <c r="B949" s="26"/>
      <c r="C949" s="135"/>
      <c r="D949" s="136"/>
      <c r="E949" s="137"/>
    </row>
    <row r="950" spans="1:5" ht="21.75">
      <c r="A950" s="134"/>
      <c r="B950" s="26"/>
      <c r="C950" s="135"/>
      <c r="D950" s="136"/>
      <c r="E950" s="137"/>
    </row>
    <row r="951" spans="1:5" ht="21.75">
      <c r="A951" s="134"/>
      <c r="B951" s="26"/>
      <c r="C951" s="135"/>
      <c r="D951" s="136"/>
      <c r="E951" s="137"/>
    </row>
    <row r="952" spans="1:5" ht="21.75">
      <c r="A952" s="134"/>
      <c r="B952" s="26"/>
      <c r="C952" s="135"/>
      <c r="D952" s="136"/>
      <c r="E952" s="137"/>
    </row>
    <row r="953" spans="1:5" ht="21.75">
      <c r="A953" s="134"/>
      <c r="B953" s="26"/>
      <c r="C953" s="135"/>
      <c r="D953" s="136"/>
      <c r="E953" s="137"/>
    </row>
    <row r="954" spans="1:5" ht="21.75">
      <c r="A954" s="134"/>
      <c r="B954" s="26"/>
      <c r="C954" s="135"/>
      <c r="D954" s="136"/>
      <c r="E954" s="137"/>
    </row>
    <row r="955" spans="1:5" ht="21.75">
      <c r="A955" s="134"/>
      <c r="B955" s="26"/>
      <c r="C955" s="135"/>
      <c r="D955" s="136"/>
      <c r="E955" s="137"/>
    </row>
    <row r="956" spans="1:5" ht="21.75">
      <c r="A956" s="134"/>
      <c r="B956" s="26"/>
      <c r="C956" s="135"/>
      <c r="D956" s="136"/>
      <c r="E956" s="137"/>
    </row>
    <row r="957" spans="1:5" ht="21.75">
      <c r="A957" s="134"/>
      <c r="B957" s="26"/>
      <c r="C957" s="135"/>
      <c r="D957" s="136"/>
      <c r="E957" s="137"/>
    </row>
    <row r="958" spans="1:5" ht="21.75">
      <c r="A958" s="134"/>
      <c r="B958" s="26"/>
      <c r="C958" s="135"/>
      <c r="D958" s="136"/>
      <c r="E958" s="137"/>
    </row>
    <row r="959" spans="1:5" ht="21.75">
      <c r="A959" s="134"/>
      <c r="B959" s="26"/>
      <c r="C959" s="135"/>
      <c r="D959" s="136"/>
      <c r="E959" s="137"/>
    </row>
    <row r="960" spans="1:5" ht="21.75">
      <c r="A960" s="134"/>
      <c r="B960" s="26"/>
      <c r="C960" s="135"/>
      <c r="D960" s="136"/>
      <c r="E960" s="137"/>
    </row>
    <row r="961" spans="1:5" ht="21.75">
      <c r="A961" s="134"/>
      <c r="B961" s="26"/>
      <c r="C961" s="135"/>
      <c r="D961" s="136"/>
      <c r="E961" s="137"/>
    </row>
    <row r="962" spans="1:5" ht="21.75">
      <c r="A962" s="134"/>
      <c r="B962" s="26"/>
      <c r="C962" s="135"/>
      <c r="D962" s="136"/>
      <c r="E962" s="137"/>
    </row>
    <row r="963" spans="1:5" ht="21.75">
      <c r="A963" s="134"/>
      <c r="B963" s="26"/>
      <c r="C963" s="135"/>
      <c r="D963" s="136"/>
      <c r="E963" s="137"/>
    </row>
    <row r="964" spans="1:5" ht="21.75">
      <c r="A964" s="134"/>
      <c r="B964" s="26"/>
      <c r="C964" s="135"/>
      <c r="D964" s="136"/>
      <c r="E964" s="137"/>
    </row>
    <row r="965" spans="1:5" ht="21.75">
      <c r="A965" s="134"/>
      <c r="B965" s="26"/>
      <c r="C965" s="135"/>
      <c r="D965" s="136"/>
      <c r="E965" s="137"/>
    </row>
    <row r="966" spans="1:5" ht="21.75">
      <c r="A966" s="134"/>
      <c r="B966" s="26"/>
      <c r="C966" s="135"/>
      <c r="D966" s="136"/>
      <c r="E966" s="137"/>
    </row>
    <row r="967" spans="1:5" ht="21.75">
      <c r="A967" s="134"/>
      <c r="B967" s="26"/>
      <c r="C967" s="135"/>
      <c r="D967" s="136"/>
      <c r="E967" s="137"/>
    </row>
    <row r="968" spans="1:5" ht="21.75">
      <c r="A968" s="134"/>
      <c r="B968" s="26"/>
      <c r="C968" s="135"/>
      <c r="D968" s="136"/>
      <c r="E968" s="137"/>
    </row>
    <row r="969" spans="1:5" ht="21.75">
      <c r="A969" s="134"/>
      <c r="B969" s="26"/>
      <c r="C969" s="135"/>
      <c r="D969" s="136"/>
      <c r="E969" s="137"/>
    </row>
    <row r="970" spans="1:5" ht="21.75">
      <c r="A970" s="134"/>
      <c r="B970" s="26"/>
      <c r="C970" s="135"/>
      <c r="D970" s="136"/>
      <c r="E970" s="137"/>
    </row>
    <row r="971" spans="1:5" ht="21.75">
      <c r="A971" s="134"/>
      <c r="B971" s="26"/>
      <c r="C971" s="135"/>
      <c r="D971" s="136"/>
      <c r="E971" s="137"/>
    </row>
    <row r="972" spans="1:5" ht="21.75">
      <c r="A972" s="134"/>
      <c r="B972" s="26"/>
      <c r="C972" s="135"/>
      <c r="D972" s="136"/>
      <c r="E972" s="137"/>
    </row>
    <row r="973" spans="1:5" ht="21.75">
      <c r="A973" s="134"/>
      <c r="B973" s="26"/>
      <c r="C973" s="135"/>
      <c r="D973" s="136"/>
      <c r="E973" s="137"/>
    </row>
    <row r="974" spans="1:5" ht="21.75">
      <c r="A974" s="134"/>
      <c r="B974" s="26"/>
      <c r="C974" s="135"/>
      <c r="D974" s="136"/>
      <c r="E974" s="137"/>
    </row>
    <row r="975" spans="1:5" ht="21.75">
      <c r="A975" s="134"/>
      <c r="B975" s="26"/>
      <c r="C975" s="135"/>
      <c r="D975" s="136"/>
      <c r="E975" s="137"/>
    </row>
    <row r="976" spans="1:5" ht="21.75">
      <c r="A976" s="134"/>
      <c r="B976" s="26"/>
      <c r="C976" s="135"/>
      <c r="D976" s="136"/>
      <c r="E976" s="137"/>
    </row>
    <row r="977" spans="1:5" ht="21.75">
      <c r="A977" s="134"/>
      <c r="B977" s="26"/>
      <c r="C977" s="135"/>
      <c r="D977" s="136"/>
      <c r="E977" s="137"/>
    </row>
    <row r="978" spans="1:5" ht="21.75">
      <c r="A978" s="134"/>
      <c r="B978" s="26"/>
      <c r="C978" s="135"/>
      <c r="D978" s="136"/>
      <c r="E978" s="137"/>
    </row>
    <row r="979" spans="1:5" ht="21.75">
      <c r="A979" s="134"/>
      <c r="B979" s="26"/>
      <c r="C979" s="135"/>
      <c r="D979" s="136"/>
      <c r="E979" s="137"/>
    </row>
    <row r="980" spans="1:5" ht="21.75">
      <c r="A980" s="134"/>
      <c r="B980" s="26"/>
      <c r="C980" s="135"/>
      <c r="D980" s="136"/>
      <c r="E980" s="137"/>
    </row>
    <row r="981" spans="1:5" ht="21.75">
      <c r="A981" s="134"/>
      <c r="B981" s="26"/>
      <c r="C981" s="135"/>
      <c r="D981" s="136"/>
      <c r="E981" s="137"/>
    </row>
    <row r="982" spans="1:5" ht="21.75">
      <c r="A982" s="134"/>
      <c r="B982" s="26"/>
      <c r="C982" s="135"/>
      <c r="D982" s="136"/>
      <c r="E982" s="137"/>
    </row>
    <row r="983" spans="1:5" ht="21.75">
      <c r="A983" s="134"/>
      <c r="B983" s="26"/>
      <c r="C983" s="135"/>
      <c r="D983" s="136"/>
      <c r="E983" s="137"/>
    </row>
    <row r="984" spans="1:5" ht="21.75">
      <c r="A984" s="134"/>
      <c r="B984" s="26"/>
      <c r="C984" s="135"/>
      <c r="D984" s="136"/>
      <c r="E984" s="137"/>
    </row>
    <row r="985" spans="1:5" ht="21.75">
      <c r="A985" s="134"/>
      <c r="B985" s="26"/>
      <c r="C985" s="135"/>
      <c r="D985" s="136"/>
      <c r="E985" s="137"/>
    </row>
    <row r="986" spans="1:5" ht="21.75">
      <c r="A986" s="134"/>
      <c r="B986" s="26"/>
      <c r="C986" s="135"/>
      <c r="D986" s="136"/>
      <c r="E986" s="137"/>
    </row>
    <row r="987" spans="1:5" ht="21.75">
      <c r="A987" s="134"/>
      <c r="B987" s="26"/>
      <c r="C987" s="135"/>
      <c r="D987" s="136"/>
      <c r="E987" s="137"/>
    </row>
    <row r="988" spans="1:5" ht="21.75">
      <c r="A988" s="134"/>
      <c r="B988" s="26"/>
      <c r="C988" s="135"/>
      <c r="D988" s="136"/>
      <c r="E988" s="137"/>
    </row>
    <row r="989" spans="1:5" ht="21.75">
      <c r="A989" s="134"/>
      <c r="B989" s="26"/>
      <c r="C989" s="135"/>
      <c r="D989" s="136"/>
      <c r="E989" s="137"/>
    </row>
    <row r="990" spans="1:5" ht="21.75">
      <c r="A990" s="134"/>
      <c r="B990" s="26"/>
      <c r="C990" s="135"/>
      <c r="D990" s="136"/>
      <c r="E990" s="137"/>
    </row>
    <row r="991" spans="1:5" ht="21.75">
      <c r="A991" s="134"/>
      <c r="B991" s="26"/>
      <c r="C991" s="135"/>
      <c r="D991" s="136"/>
      <c r="E991" s="137"/>
    </row>
    <row r="992" spans="1:5" ht="21.75">
      <c r="A992" s="134"/>
      <c r="B992" s="26"/>
      <c r="C992" s="135"/>
      <c r="D992" s="136"/>
      <c r="E992" s="137"/>
    </row>
    <row r="993" spans="1:5" ht="21.75">
      <c r="A993" s="134"/>
      <c r="B993" s="26"/>
      <c r="C993" s="135"/>
      <c r="D993" s="136"/>
      <c r="E993" s="137"/>
    </row>
    <row r="994" spans="1:5" ht="21.75">
      <c r="A994" s="134"/>
      <c r="B994" s="26"/>
      <c r="C994" s="135"/>
      <c r="D994" s="136"/>
      <c r="E994" s="137"/>
    </row>
    <row r="995" spans="1:5" ht="21.75">
      <c r="A995" s="134"/>
      <c r="B995" s="26"/>
      <c r="C995" s="135"/>
      <c r="D995" s="136"/>
      <c r="E995" s="137"/>
    </row>
    <row r="996" spans="1:5" ht="21.75">
      <c r="A996" s="134"/>
      <c r="B996" s="26"/>
      <c r="C996" s="135"/>
      <c r="D996" s="136"/>
      <c r="E996" s="137"/>
    </row>
    <row r="997" spans="1:5" ht="21.75">
      <c r="A997" s="134"/>
      <c r="B997" s="26"/>
      <c r="C997" s="135"/>
      <c r="D997" s="136"/>
      <c r="E997" s="137"/>
    </row>
    <row r="998" spans="1:5" ht="21.75">
      <c r="A998" s="134"/>
      <c r="B998" s="26"/>
      <c r="C998" s="135"/>
      <c r="D998" s="136"/>
      <c r="E998" s="137"/>
    </row>
    <row r="999" spans="1:5" ht="21.75">
      <c r="A999" s="134"/>
      <c r="B999" s="26"/>
      <c r="C999" s="135"/>
      <c r="D999" s="136"/>
      <c r="E999" s="137"/>
    </row>
    <row r="1000" spans="1:5" ht="21.75">
      <c r="A1000" s="134"/>
      <c r="B1000" s="26"/>
      <c r="C1000" s="135"/>
      <c r="D1000" s="136"/>
      <c r="E1000" s="137"/>
    </row>
    <row r="1001" spans="1:5" ht="21.75">
      <c r="A1001" s="134"/>
      <c r="B1001" s="26"/>
      <c r="C1001" s="135"/>
      <c r="D1001" s="136"/>
      <c r="E1001" s="137"/>
    </row>
    <row r="1002" spans="1:5" ht="21.75">
      <c r="A1002" s="134"/>
      <c r="B1002" s="26"/>
      <c r="C1002" s="135"/>
      <c r="D1002" s="136"/>
      <c r="E1002" s="137"/>
    </row>
    <row r="1003" spans="1:5" ht="21.75">
      <c r="A1003" s="134"/>
      <c r="B1003" s="26"/>
      <c r="C1003" s="135"/>
      <c r="D1003" s="136"/>
      <c r="E1003" s="137"/>
    </row>
    <row r="1004" spans="1:5" ht="21.75">
      <c r="A1004" s="134"/>
      <c r="B1004" s="26"/>
      <c r="C1004" s="135"/>
      <c r="D1004" s="136"/>
      <c r="E1004" s="137"/>
    </row>
    <row r="1005" spans="1:5" ht="21.75">
      <c r="A1005" s="134"/>
      <c r="B1005" s="26"/>
      <c r="C1005" s="135"/>
      <c r="D1005" s="136"/>
      <c r="E1005" s="137"/>
    </row>
    <row r="1006" spans="1:5" ht="21.75">
      <c r="A1006" s="134"/>
      <c r="B1006" s="26"/>
      <c r="C1006" s="135"/>
      <c r="D1006" s="136"/>
      <c r="E1006" s="137"/>
    </row>
    <row r="1007" spans="1:5" ht="21.75">
      <c r="A1007" s="134"/>
      <c r="B1007" s="26"/>
      <c r="C1007" s="135"/>
      <c r="D1007" s="136"/>
      <c r="E1007" s="137"/>
    </row>
    <row r="1008" spans="1:5" ht="21.75">
      <c r="A1008" s="134"/>
      <c r="B1008" s="26"/>
      <c r="C1008" s="135"/>
      <c r="D1008" s="136"/>
      <c r="E1008" s="137"/>
    </row>
    <row r="1009" spans="1:5" ht="21.75">
      <c r="A1009" s="134"/>
      <c r="B1009" s="26"/>
      <c r="C1009" s="135"/>
      <c r="D1009" s="136"/>
      <c r="E1009" s="137"/>
    </row>
    <row r="1010" spans="1:5" ht="21.75">
      <c r="A1010" s="134"/>
      <c r="B1010" s="26"/>
      <c r="C1010" s="135"/>
      <c r="D1010" s="136"/>
      <c r="E1010" s="137"/>
    </row>
    <row r="1011" spans="1:5" ht="21.75">
      <c r="A1011" s="134"/>
      <c r="B1011" s="26"/>
      <c r="C1011" s="135"/>
      <c r="D1011" s="136"/>
      <c r="E1011" s="137"/>
    </row>
    <row r="1012" spans="1:5" ht="21.75">
      <c r="A1012" s="134"/>
      <c r="B1012" s="26"/>
      <c r="C1012" s="135"/>
      <c r="D1012" s="136"/>
      <c r="E1012" s="137"/>
    </row>
    <row r="1013" spans="1:5" ht="21.75">
      <c r="A1013" s="134"/>
      <c r="B1013" s="26"/>
      <c r="C1013" s="135"/>
      <c r="D1013" s="136"/>
      <c r="E1013" s="137"/>
    </row>
    <row r="1014" spans="1:5" ht="21.75">
      <c r="A1014" s="134"/>
      <c r="B1014" s="26"/>
      <c r="C1014" s="135"/>
      <c r="D1014" s="136"/>
      <c r="E1014" s="137"/>
    </row>
    <row r="1015" spans="1:5" ht="21.75">
      <c r="A1015" s="134"/>
      <c r="B1015" s="26"/>
      <c r="C1015" s="135"/>
      <c r="D1015" s="136"/>
      <c r="E1015" s="137"/>
    </row>
    <row r="1016" spans="1:5" ht="21.75">
      <c r="A1016" s="134"/>
      <c r="B1016" s="26"/>
      <c r="C1016" s="135"/>
      <c r="D1016" s="136"/>
      <c r="E1016" s="137"/>
    </row>
    <row r="1017" spans="1:5" ht="21.75">
      <c r="A1017" s="134"/>
      <c r="B1017" s="26"/>
      <c r="C1017" s="135"/>
      <c r="D1017" s="136"/>
      <c r="E1017" s="137"/>
    </row>
    <row r="1018" spans="1:5" ht="21.75">
      <c r="A1018" s="134"/>
      <c r="B1018" s="26"/>
      <c r="C1018" s="135"/>
      <c r="D1018" s="136"/>
      <c r="E1018" s="137"/>
    </row>
    <row r="1019" spans="1:5" ht="21.75">
      <c r="A1019" s="134"/>
      <c r="B1019" s="26"/>
      <c r="C1019" s="135"/>
      <c r="D1019" s="136"/>
      <c r="E1019" s="137"/>
    </row>
    <row r="1020" spans="1:5" ht="21.75">
      <c r="A1020" s="134"/>
      <c r="B1020" s="26"/>
      <c r="C1020" s="135"/>
      <c r="D1020" s="136"/>
      <c r="E1020" s="137"/>
    </row>
    <row r="1021" spans="1:5" ht="21.75">
      <c r="A1021" s="134"/>
      <c r="B1021" s="26"/>
      <c r="C1021" s="135"/>
      <c r="D1021" s="136"/>
      <c r="E1021" s="137"/>
    </row>
    <row r="1022" spans="1:5" ht="21.75">
      <c r="A1022" s="134"/>
      <c r="B1022" s="26"/>
      <c r="C1022" s="135"/>
      <c r="D1022" s="136"/>
      <c r="E1022" s="137"/>
    </row>
    <row r="1023" spans="1:5" ht="21.75">
      <c r="A1023" s="134"/>
      <c r="B1023" s="26"/>
      <c r="C1023" s="135"/>
      <c r="D1023" s="136"/>
      <c r="E1023" s="137"/>
    </row>
    <row r="1024" spans="1:5" ht="21.75">
      <c r="A1024" s="134"/>
      <c r="B1024" s="26"/>
      <c r="C1024" s="135"/>
      <c r="D1024" s="136"/>
      <c r="E1024" s="137"/>
    </row>
    <row r="1025" spans="1:5" ht="21.75">
      <c r="A1025" s="134"/>
      <c r="B1025" s="26"/>
      <c r="C1025" s="135"/>
      <c r="D1025" s="136"/>
      <c r="E1025" s="137"/>
    </row>
    <row r="1026" spans="1:5" ht="21.75">
      <c r="A1026" s="134"/>
      <c r="B1026" s="26"/>
      <c r="C1026" s="135"/>
      <c r="D1026" s="136"/>
      <c r="E1026" s="137"/>
    </row>
    <row r="1027" spans="1:5" ht="21.75">
      <c r="A1027" s="134"/>
      <c r="B1027" s="26"/>
      <c r="C1027" s="135"/>
      <c r="D1027" s="136"/>
      <c r="E1027" s="137"/>
    </row>
    <row r="1028" spans="1:5" ht="21.75">
      <c r="A1028" s="134"/>
      <c r="B1028" s="26"/>
      <c r="C1028" s="135"/>
      <c r="D1028" s="136"/>
      <c r="E1028" s="137"/>
    </row>
    <row r="1029" spans="1:5" ht="21.75">
      <c r="A1029" s="134"/>
      <c r="B1029" s="26"/>
      <c r="C1029" s="135"/>
      <c r="D1029" s="136"/>
      <c r="E1029" s="137"/>
    </row>
    <row r="1030" spans="1:5" ht="21.75">
      <c r="A1030" s="134"/>
      <c r="B1030" s="26"/>
      <c r="C1030" s="135"/>
      <c r="D1030" s="136"/>
      <c r="E1030" s="137"/>
    </row>
    <row r="1031" spans="1:5" ht="21.75">
      <c r="A1031" s="134"/>
      <c r="B1031" s="26"/>
      <c r="C1031" s="135"/>
      <c r="D1031" s="136"/>
      <c r="E1031" s="137"/>
    </row>
    <row r="1032" spans="1:5" ht="21.75">
      <c r="A1032" s="134"/>
      <c r="B1032" s="26"/>
      <c r="C1032" s="135"/>
      <c r="D1032" s="136"/>
      <c r="E1032" s="137"/>
    </row>
    <row r="1033" spans="1:5" ht="21.75">
      <c r="A1033" s="134"/>
      <c r="B1033" s="26"/>
      <c r="C1033" s="135"/>
      <c r="D1033" s="136"/>
      <c r="E1033" s="137"/>
    </row>
    <row r="1034" spans="1:5" ht="21.75">
      <c r="A1034" s="134"/>
      <c r="B1034" s="26"/>
      <c r="C1034" s="135"/>
      <c r="D1034" s="136"/>
      <c r="E1034" s="137"/>
    </row>
    <row r="1035" spans="1:5" ht="21.75">
      <c r="A1035" s="134"/>
      <c r="B1035" s="26"/>
      <c r="C1035" s="135"/>
      <c r="D1035" s="136"/>
      <c r="E1035" s="137"/>
    </row>
    <row r="1036" spans="1:5" ht="21.75">
      <c r="A1036" s="134"/>
      <c r="B1036" s="26"/>
      <c r="C1036" s="135"/>
      <c r="D1036" s="136"/>
      <c r="E1036" s="137"/>
    </row>
    <row r="1037" spans="1:5" ht="21.75">
      <c r="A1037" s="134"/>
      <c r="B1037" s="26"/>
      <c r="C1037" s="135"/>
      <c r="D1037" s="136"/>
      <c r="E1037" s="137"/>
    </row>
    <row r="1038" spans="1:5" ht="21.75">
      <c r="A1038" s="134"/>
      <c r="B1038" s="26"/>
      <c r="C1038" s="135"/>
      <c r="D1038" s="136"/>
      <c r="E1038" s="137"/>
    </row>
    <row r="1039" spans="1:5" ht="21.75">
      <c r="A1039" s="134"/>
      <c r="B1039" s="26"/>
      <c r="C1039" s="135"/>
      <c r="D1039" s="136"/>
      <c r="E1039" s="137"/>
    </row>
    <row r="1040" spans="1:5" ht="21.75">
      <c r="A1040" s="134"/>
      <c r="B1040" s="26"/>
      <c r="C1040" s="135"/>
      <c r="D1040" s="136"/>
      <c r="E1040" s="137"/>
    </row>
    <row r="1041" spans="1:5" ht="21.75">
      <c r="A1041" s="134"/>
      <c r="B1041" s="26"/>
      <c r="C1041" s="135"/>
      <c r="D1041" s="136"/>
      <c r="E1041" s="137"/>
    </row>
    <row r="1042" spans="1:5" ht="21.75">
      <c r="A1042" s="134"/>
      <c r="B1042" s="26"/>
      <c r="C1042" s="135"/>
      <c r="D1042" s="136"/>
      <c r="E1042" s="137"/>
    </row>
    <row r="1043" spans="1:5" ht="21.75">
      <c r="A1043" s="134"/>
      <c r="B1043" s="26"/>
      <c r="C1043" s="135"/>
      <c r="D1043" s="136"/>
      <c r="E1043" s="137"/>
    </row>
    <row r="1044" spans="1:5" ht="21.75">
      <c r="A1044" s="134"/>
      <c r="B1044" s="26"/>
      <c r="C1044" s="135"/>
      <c r="D1044" s="136"/>
      <c r="E1044" s="137"/>
    </row>
    <row r="1045" spans="1:5" ht="21.75">
      <c r="A1045" s="134"/>
      <c r="B1045" s="26"/>
      <c r="C1045" s="135"/>
      <c r="D1045" s="136"/>
      <c r="E1045" s="137"/>
    </row>
    <row r="1046" spans="1:5" ht="21.75">
      <c r="A1046" s="134"/>
      <c r="B1046" s="26"/>
      <c r="C1046" s="135"/>
      <c r="D1046" s="136"/>
      <c r="E1046" s="137"/>
    </row>
    <row r="1047" spans="1:5" ht="21.75">
      <c r="A1047" s="134"/>
      <c r="B1047" s="26"/>
      <c r="C1047" s="135"/>
      <c r="D1047" s="136"/>
      <c r="E1047" s="137"/>
    </row>
    <row r="1048" spans="1:5" ht="21.75">
      <c r="A1048" s="134"/>
      <c r="B1048" s="26"/>
      <c r="C1048" s="135"/>
      <c r="D1048" s="136"/>
      <c r="E1048" s="137"/>
    </row>
    <row r="1049" spans="1:5" ht="21.75">
      <c r="A1049" s="134"/>
      <c r="B1049" s="26"/>
      <c r="C1049" s="135"/>
      <c r="D1049" s="136"/>
      <c r="E1049" s="137"/>
    </row>
    <row r="1050" spans="1:5" ht="21.75">
      <c r="A1050" s="134"/>
      <c r="B1050" s="26"/>
      <c r="C1050" s="135"/>
      <c r="D1050" s="136"/>
      <c r="E1050" s="137"/>
    </row>
    <row r="1051" spans="1:5" ht="21.75">
      <c r="A1051" s="134"/>
      <c r="B1051" s="26"/>
      <c r="C1051" s="135"/>
      <c r="D1051" s="136"/>
      <c r="E1051" s="137"/>
    </row>
    <row r="1052" spans="1:5" ht="21.75">
      <c r="A1052" s="134"/>
      <c r="B1052" s="26"/>
      <c r="C1052" s="135"/>
      <c r="D1052" s="136"/>
      <c r="E1052" s="137"/>
    </row>
    <row r="1053" spans="1:5" ht="21.75">
      <c r="A1053" s="134"/>
      <c r="B1053" s="26"/>
      <c r="C1053" s="135"/>
      <c r="D1053" s="136"/>
      <c r="E1053" s="137"/>
    </row>
    <row r="1054" spans="1:5" ht="21.75">
      <c r="A1054" s="134"/>
      <c r="B1054" s="26"/>
      <c r="C1054" s="135"/>
      <c r="D1054" s="136"/>
      <c r="E1054" s="137"/>
    </row>
    <row r="1055" spans="1:5" ht="21.75">
      <c r="A1055" s="134"/>
      <c r="B1055" s="26"/>
      <c r="C1055" s="135"/>
      <c r="D1055" s="136"/>
      <c r="E1055" s="137"/>
    </row>
    <row r="1056" spans="1:5" ht="21.75">
      <c r="A1056" s="134"/>
      <c r="B1056" s="26"/>
      <c r="C1056" s="135"/>
      <c r="D1056" s="136"/>
      <c r="E1056" s="137"/>
    </row>
    <row r="1057" spans="1:5" ht="21.75">
      <c r="A1057" s="134"/>
      <c r="B1057" s="26"/>
      <c r="C1057" s="135"/>
      <c r="D1057" s="136"/>
      <c r="E1057" s="137"/>
    </row>
    <row r="1058" spans="1:5" ht="21.75">
      <c r="A1058" s="134"/>
      <c r="B1058" s="26"/>
      <c r="C1058" s="135"/>
      <c r="D1058" s="136"/>
      <c r="E1058" s="137"/>
    </row>
    <row r="1059" spans="1:5" ht="21.75">
      <c r="A1059" s="134"/>
      <c r="B1059" s="26"/>
      <c r="C1059" s="135"/>
      <c r="D1059" s="136"/>
      <c r="E1059" s="137"/>
    </row>
    <row r="1060" spans="1:5" ht="21.75">
      <c r="A1060" s="134"/>
      <c r="B1060" s="26"/>
      <c r="C1060" s="135"/>
      <c r="D1060" s="136"/>
      <c r="E1060" s="137"/>
    </row>
    <row r="1061" spans="1:5" ht="21.75">
      <c r="A1061" s="134"/>
      <c r="B1061" s="26"/>
      <c r="C1061" s="135"/>
      <c r="D1061" s="136"/>
      <c r="E1061" s="137"/>
    </row>
    <row r="1062" spans="1:5" ht="21.75">
      <c r="A1062" s="134"/>
      <c r="B1062" s="26"/>
      <c r="C1062" s="135"/>
      <c r="D1062" s="136"/>
      <c r="E1062" s="137"/>
    </row>
    <row r="1063" spans="1:5" ht="21.75">
      <c r="A1063" s="134"/>
      <c r="B1063" s="26"/>
      <c r="C1063" s="135"/>
      <c r="D1063" s="136"/>
      <c r="E1063" s="137"/>
    </row>
    <row r="1064" spans="1:5" ht="21.75">
      <c r="A1064" s="134"/>
      <c r="B1064" s="26"/>
      <c r="C1064" s="135"/>
      <c r="D1064" s="136"/>
      <c r="E1064" s="137"/>
    </row>
    <row r="1065" spans="1:5" ht="21.75">
      <c r="A1065" s="134"/>
      <c r="B1065" s="26"/>
      <c r="C1065" s="135"/>
      <c r="D1065" s="136"/>
      <c r="E1065" s="137"/>
    </row>
    <row r="1066" spans="1:5" ht="21.75">
      <c r="A1066" s="134"/>
      <c r="B1066" s="26"/>
      <c r="C1066" s="135"/>
      <c r="D1066" s="136"/>
      <c r="E1066" s="137"/>
    </row>
    <row r="1067" spans="1:5" ht="21.75">
      <c r="A1067" s="134"/>
      <c r="B1067" s="26"/>
      <c r="C1067" s="135"/>
      <c r="D1067" s="136"/>
      <c r="E1067" s="137"/>
    </row>
    <row r="1068" spans="1:5" ht="21.75">
      <c r="A1068" s="134"/>
      <c r="B1068" s="26"/>
      <c r="C1068" s="135"/>
      <c r="D1068" s="136"/>
      <c r="E1068" s="137"/>
    </row>
    <row r="1069" spans="1:5" ht="21.75">
      <c r="A1069" s="134"/>
      <c r="B1069" s="26"/>
      <c r="C1069" s="135"/>
      <c r="D1069" s="136"/>
      <c r="E1069" s="137"/>
    </row>
    <row r="1070" spans="1:5" ht="21.75">
      <c r="A1070" s="134"/>
      <c r="B1070" s="26"/>
      <c r="C1070" s="135"/>
      <c r="D1070" s="136"/>
      <c r="E1070" s="137"/>
    </row>
    <row r="1071" spans="1:5" ht="21.75">
      <c r="A1071" s="134"/>
      <c r="B1071" s="26"/>
      <c r="C1071" s="135"/>
      <c r="D1071" s="136"/>
      <c r="E1071" s="137"/>
    </row>
    <row r="1072" spans="1:5" ht="21.75">
      <c r="A1072" s="134"/>
      <c r="B1072" s="26"/>
      <c r="C1072" s="135"/>
      <c r="D1072" s="136"/>
      <c r="E1072" s="137"/>
    </row>
    <row r="1073" spans="1:5" ht="21.75">
      <c r="A1073" s="134"/>
      <c r="B1073" s="26"/>
      <c r="C1073" s="135"/>
      <c r="D1073" s="136"/>
      <c r="E1073" s="137"/>
    </row>
    <row r="1074" spans="1:5" ht="21.75">
      <c r="A1074" s="134"/>
      <c r="B1074" s="26"/>
      <c r="C1074" s="135"/>
      <c r="D1074" s="136"/>
      <c r="E1074" s="137"/>
    </row>
    <row r="1075" spans="1:5" ht="21.75">
      <c r="A1075" s="134"/>
      <c r="B1075" s="26"/>
      <c r="C1075" s="135"/>
      <c r="D1075" s="136"/>
      <c r="E1075" s="137"/>
    </row>
    <row r="1076" spans="1:5" ht="21.75">
      <c r="A1076" s="134"/>
      <c r="B1076" s="26"/>
      <c r="C1076" s="135"/>
      <c r="D1076" s="136"/>
      <c r="E1076" s="137"/>
    </row>
    <row r="1077" spans="1:5" ht="21.75">
      <c r="A1077" s="134"/>
      <c r="B1077" s="26"/>
      <c r="C1077" s="135"/>
      <c r="D1077" s="136"/>
      <c r="E1077" s="137"/>
    </row>
    <row r="1078" spans="1:5" ht="21.75">
      <c r="A1078" s="134"/>
      <c r="B1078" s="26"/>
      <c r="C1078" s="135"/>
      <c r="D1078" s="136"/>
      <c r="E1078" s="137"/>
    </row>
    <row r="1079" spans="1:5" ht="21.75">
      <c r="A1079" s="134"/>
      <c r="B1079" s="26"/>
      <c r="C1079" s="135"/>
      <c r="D1079" s="136"/>
      <c r="E1079" s="137"/>
    </row>
    <row r="1080" spans="1:5" ht="21.75">
      <c r="A1080" s="134"/>
      <c r="B1080" s="26"/>
      <c r="C1080" s="135"/>
      <c r="D1080" s="136"/>
      <c r="E1080" s="137"/>
    </row>
  </sheetData>
  <autoFilter ref="A1:G1" xr:uid="{00000000-0009-0000-0000-000004000000}"/>
  <mergeCells count="1">
    <mergeCell ref="A1:E1"/>
  </mergeCells>
  <conditionalFormatting sqref="C163:C1080 C2:C80">
    <cfRule type="containsText" dxfId="1" priority="1" operator="containsText" text="Đã nạp">
      <formula>NOT(ISERROR(SEARCH(("Đã nạp"),(C2))))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709"/>
  <sheetViews>
    <sheetView topLeftCell="A7" workbookViewId="0">
      <selection activeCell="L28" sqref="L28"/>
    </sheetView>
  </sheetViews>
  <sheetFormatPr defaultColWidth="12.5703125" defaultRowHeight="15.75" customHeight="1"/>
  <cols>
    <col min="1" max="1" width="20.28515625" customWidth="1"/>
    <col min="2" max="2" width="25" customWidth="1"/>
    <col min="3" max="3" width="20.28515625" customWidth="1"/>
    <col min="4" max="4" width="14.5703125" customWidth="1"/>
    <col min="5" max="5" width="25.7109375" customWidth="1"/>
    <col min="6" max="6" width="20.42578125" customWidth="1"/>
  </cols>
  <sheetData>
    <row r="1" spans="1:6" ht="42.75" customHeight="1">
      <c r="A1" s="143" t="str">
        <f ca="1">"TRANG KIỂM TRA TRẠNG THÁI CHO CHẠY NẠP HỘ TRONG THÁNG " &amp;MONTH(TODAY())</f>
        <v>TRANG KIỂM TRA TRẠNG THÁI CHO CHẠY NẠP HỘ TRONG THÁNG 10</v>
      </c>
      <c r="B1" s="140"/>
      <c r="C1" s="140"/>
      <c r="D1" s="140"/>
      <c r="E1" s="140"/>
    </row>
    <row r="2" spans="1:6" ht="12.75">
      <c r="A2" s="11" t="s">
        <v>35</v>
      </c>
      <c r="B2" s="11" t="s">
        <v>41</v>
      </c>
      <c r="C2" s="11" t="s">
        <v>44</v>
      </c>
      <c r="D2" s="11" t="s">
        <v>50</v>
      </c>
      <c r="E2" s="11" t="s">
        <v>55</v>
      </c>
    </row>
    <row r="3" spans="1:6" ht="18.75">
      <c r="A3" s="1">
        <v>939946379</v>
      </c>
      <c r="B3" s="122" t="str">
        <f>IF(A3&lt;&gt;"", VLOOKUP(A3,'Danh Sách Tổng KH'!$A$1:$B$547,2,0),"")</f>
        <v>Võ Anh Hoàng</v>
      </c>
      <c r="C3" s="109" t="str">
        <f t="shared" ref="C3:C181" si="0">IF(E3="x","Đã nạp","Chưa nạp")</f>
        <v>Chưa nạp</v>
      </c>
      <c r="D3" s="132">
        <v>200000</v>
      </c>
      <c r="E3" s="110"/>
      <c r="F3" s="10" t="str">
        <f t="shared" ref="F3:F181" si="1">A3&amp;","&amp;D3</f>
        <v>939946379,200000</v>
      </c>
    </row>
    <row r="4" spans="1:6" ht="18.75">
      <c r="A4" s="1">
        <v>932929119</v>
      </c>
      <c r="B4" s="122" t="str">
        <f>IF(A4&lt;&gt;"", VLOOKUP(A4,'Danh Sách Tổng KH'!$A$1:$B$547,2,0),"")</f>
        <v>Phạm Hoài Nam</v>
      </c>
      <c r="C4" s="109" t="str">
        <f t="shared" si="0"/>
        <v>Chưa nạp</v>
      </c>
      <c r="D4" s="132">
        <v>200000</v>
      </c>
      <c r="E4" s="110"/>
      <c r="F4" s="10" t="str">
        <f t="shared" si="1"/>
        <v>932929119,200000</v>
      </c>
    </row>
    <row r="5" spans="1:6" ht="18.75">
      <c r="A5" s="1">
        <v>786999679</v>
      </c>
      <c r="B5" s="122" t="str">
        <f>IF(A5&lt;&gt;"", VLOOKUP(A5,'Danh Sách Tổng KH'!$A$1:$B$547,2,0),"")</f>
        <v>Trân nguyen thanh nam</v>
      </c>
      <c r="C5" s="109" t="str">
        <f t="shared" si="0"/>
        <v>Chưa nạp</v>
      </c>
      <c r="D5" s="132">
        <v>150000</v>
      </c>
      <c r="E5" s="110"/>
      <c r="F5" s="10" t="str">
        <f t="shared" si="1"/>
        <v>786999679,150000</v>
      </c>
    </row>
    <row r="6" spans="1:6" ht="18.75">
      <c r="A6" s="1">
        <v>778112338</v>
      </c>
      <c r="B6" s="122" t="str">
        <f>IF(A6&lt;&gt;"", VLOOKUP(A6,'Danh Sách Tổng KH'!$A$1:$B$547,2,0),"")</f>
        <v>Huỳnh Thành Phước</v>
      </c>
      <c r="C6" s="109" t="str">
        <f t="shared" si="0"/>
        <v>Chưa nạp</v>
      </c>
      <c r="D6" s="132">
        <v>250000</v>
      </c>
      <c r="E6" s="110"/>
      <c r="F6" s="10" t="str">
        <f t="shared" si="1"/>
        <v>778112338,250000</v>
      </c>
    </row>
    <row r="7" spans="1:6" ht="18.75">
      <c r="A7" s="1">
        <v>901044933</v>
      </c>
      <c r="B7" s="122" t="str">
        <f>IF(A7&lt;&gt;"", VLOOKUP(A7,'Danh Sách Tổng KH'!$A$1:$B$547,2,0),"")</f>
        <v>Dương Thanh Vinh</v>
      </c>
      <c r="C7" s="109" t="str">
        <f t="shared" si="0"/>
        <v>Chưa nạp</v>
      </c>
      <c r="D7" s="132">
        <v>100000</v>
      </c>
      <c r="E7" s="110"/>
      <c r="F7" s="10" t="str">
        <f t="shared" si="1"/>
        <v>901044933,100000</v>
      </c>
    </row>
    <row r="8" spans="1:6" ht="18.75">
      <c r="A8" s="1">
        <v>762888832</v>
      </c>
      <c r="B8" s="122" t="str">
        <f>IF(A8&lt;&gt;"", VLOOKUP(A8,'Danh Sách Tổng KH'!$A$1:$B$547,2,0),"")</f>
        <v>Nguyễn Minh Hoàng</v>
      </c>
      <c r="C8" s="109" t="str">
        <f t="shared" si="0"/>
        <v>Chưa nạp</v>
      </c>
      <c r="D8" s="132">
        <v>150000</v>
      </c>
      <c r="E8" s="110"/>
      <c r="F8" s="10" t="str">
        <f t="shared" si="1"/>
        <v>762888832,150000</v>
      </c>
    </row>
    <row r="9" spans="1:6" ht="18.75">
      <c r="A9" s="1">
        <v>907022499</v>
      </c>
      <c r="B9" s="122" t="str">
        <f>IF(A9&lt;&gt;"", VLOOKUP(A9,'Danh Sách Tổng KH'!$A$1:$B$547,2,0),"")</f>
        <v>Lại Diễm Trường</v>
      </c>
      <c r="C9" s="109" t="str">
        <f t="shared" si="0"/>
        <v>Chưa nạp</v>
      </c>
      <c r="D9" s="132">
        <v>200000</v>
      </c>
      <c r="E9" s="110"/>
      <c r="F9" s="10" t="str">
        <f t="shared" si="1"/>
        <v>907022499,200000</v>
      </c>
    </row>
    <row r="10" spans="1:6" ht="18.75">
      <c r="A10" s="1">
        <v>907965948</v>
      </c>
      <c r="B10" s="122" t="str">
        <f>IF(A10&lt;&gt;"", VLOOKUP(A10,'Danh Sách Tổng KH'!$A$1:$B$547,2,0),"")</f>
        <v>Nguyễn Kim Quang</v>
      </c>
      <c r="C10" s="109" t="str">
        <f t="shared" si="0"/>
        <v>Chưa nạp</v>
      </c>
      <c r="D10" s="132">
        <v>100000</v>
      </c>
      <c r="E10" s="110"/>
      <c r="F10" s="10" t="str">
        <f t="shared" si="1"/>
        <v>907965948,100000</v>
      </c>
    </row>
    <row r="11" spans="1:6" ht="18.75">
      <c r="A11" s="1">
        <v>939999196</v>
      </c>
      <c r="B11" s="122" t="str">
        <f>IF(A11&lt;&gt;"", VLOOKUP(A11,'Danh Sách Tổng KH'!$A$1:$B$547,2,0),"")</f>
        <v>Mai Phẩm Chất</v>
      </c>
      <c r="C11" s="109" t="str">
        <f t="shared" si="0"/>
        <v>Chưa nạp</v>
      </c>
      <c r="D11" s="132">
        <v>50000</v>
      </c>
      <c r="E11" s="110"/>
      <c r="F11" s="10" t="str">
        <f t="shared" si="1"/>
        <v>939999196,50000</v>
      </c>
    </row>
    <row r="12" spans="1:6" ht="18.75">
      <c r="A12" s="1">
        <v>903026739</v>
      </c>
      <c r="B12" s="122" t="str">
        <f>IF(A12&lt;&gt;"", VLOOKUP(A12,'Danh Sách Tổng KH'!$A$1:$B$547,2,0),"")</f>
        <v>Phạm Thanh Việt</v>
      </c>
      <c r="C12" s="109" t="str">
        <f t="shared" si="0"/>
        <v>Chưa nạp</v>
      </c>
      <c r="D12" s="132">
        <v>50000</v>
      </c>
      <c r="E12" s="110"/>
      <c r="F12" s="10" t="str">
        <f t="shared" si="1"/>
        <v>903026739,50000</v>
      </c>
    </row>
    <row r="13" spans="1:6" ht="18.75">
      <c r="A13" s="1">
        <v>908888514</v>
      </c>
      <c r="B13" s="122" t="str">
        <f>IF(A13&lt;&gt;"", VLOOKUP(A13,'Danh Sách Tổng KH'!$A$1:$B$547,2,0),"")</f>
        <v>Trần Thị Thanh Thảo</v>
      </c>
      <c r="C13" s="109" t="str">
        <f t="shared" si="0"/>
        <v>Chưa nạp</v>
      </c>
      <c r="D13" s="132">
        <v>50000</v>
      </c>
      <c r="E13" s="110"/>
      <c r="F13" s="10" t="str">
        <f t="shared" si="1"/>
        <v>908888514,50000</v>
      </c>
    </row>
    <row r="14" spans="1:6" ht="18.75">
      <c r="A14" s="1">
        <v>903333938</v>
      </c>
      <c r="B14" s="122" t="str">
        <f>IF(A14&lt;&gt;"", VLOOKUP(A14,'Danh Sách Tổng KH'!$A$1:$B$547,2,0),"")</f>
        <v>Đặng Thanh Phong</v>
      </c>
      <c r="C14" s="109" t="str">
        <f t="shared" si="0"/>
        <v>Chưa nạp</v>
      </c>
      <c r="D14" s="132">
        <v>150000</v>
      </c>
      <c r="E14" s="110"/>
      <c r="F14" s="10" t="str">
        <f t="shared" si="1"/>
        <v>903333938,150000</v>
      </c>
    </row>
    <row r="15" spans="1:6" ht="18.75">
      <c r="A15" s="1">
        <v>908481656</v>
      </c>
      <c r="B15" s="122" t="str">
        <f>IF(A15&lt;&gt;"", VLOOKUP(A15,'Danh Sách Tổng KH'!$A$1:$B$547,2,0),"")</f>
        <v>Lê Tuấn Kiệt</v>
      </c>
      <c r="C15" s="109" t="str">
        <f t="shared" si="0"/>
        <v>Chưa nạp</v>
      </c>
      <c r="D15" s="132">
        <v>100000</v>
      </c>
      <c r="E15" s="110"/>
      <c r="F15" s="10" t="str">
        <f t="shared" si="1"/>
        <v>908481656,100000</v>
      </c>
    </row>
    <row r="16" spans="1:6" ht="18.75">
      <c r="A16" s="1">
        <v>908000144</v>
      </c>
      <c r="B16" s="122" t="str">
        <f>IF(A16&lt;&gt;"", VLOOKUP(A16,'Danh Sách Tổng KH'!$A$1:$B$547,2,0),"")</f>
        <v>Lương Văn Chung</v>
      </c>
      <c r="C16" s="109" t="str">
        <f t="shared" si="0"/>
        <v>Chưa nạp</v>
      </c>
      <c r="D16" s="132">
        <v>50000</v>
      </c>
      <c r="E16" s="110"/>
      <c r="F16" s="10" t="str">
        <f t="shared" si="1"/>
        <v>908000144,50000</v>
      </c>
    </row>
    <row r="17" spans="1:6" ht="18.75">
      <c r="A17" s="1">
        <v>903640838</v>
      </c>
      <c r="B17" s="122" t="str">
        <f>IF(A17&lt;&gt;"", VLOOKUP(A17,'Danh Sách Tổng KH'!$A$1:$B$547,2,0),"")</f>
        <v>Lương Xuân Lưu</v>
      </c>
      <c r="C17" s="109" t="str">
        <f t="shared" si="0"/>
        <v>Chưa nạp</v>
      </c>
      <c r="D17" s="132">
        <v>150000</v>
      </c>
      <c r="E17" s="110"/>
      <c r="F17" s="10" t="str">
        <f t="shared" si="1"/>
        <v>903640838,150000</v>
      </c>
    </row>
    <row r="18" spans="1:6" ht="18.75">
      <c r="A18" s="1">
        <v>903337037</v>
      </c>
      <c r="B18" s="122" t="str">
        <f>IF(A18&lt;&gt;"", VLOOKUP(A18,'Danh Sách Tổng KH'!$A$1:$B$547,2,0),"")</f>
        <v>Phan Thanh Thúy</v>
      </c>
      <c r="C18" s="109" t="str">
        <f t="shared" si="0"/>
        <v>Chưa nạp</v>
      </c>
      <c r="D18" s="132">
        <v>1950000</v>
      </c>
      <c r="E18" s="110"/>
      <c r="F18" s="10" t="str">
        <f t="shared" si="1"/>
        <v>903337037,1950000</v>
      </c>
    </row>
    <row r="19" spans="1:6" ht="18.75">
      <c r="A19" s="1">
        <v>904980405</v>
      </c>
      <c r="B19" s="122" t="str">
        <f>IF(A19&lt;&gt;"", VLOOKUP(A19,'Danh Sách Tổng KH'!$A$1:$B$547,2,0),"")</f>
        <v>Nguyễn Thanh Phượng</v>
      </c>
      <c r="C19" s="109" t="str">
        <f t="shared" si="0"/>
        <v>Chưa nạp</v>
      </c>
      <c r="D19" s="132">
        <v>50000</v>
      </c>
      <c r="E19" s="110"/>
      <c r="F19" s="10" t="str">
        <f t="shared" si="1"/>
        <v>904980405,50000</v>
      </c>
    </row>
    <row r="20" spans="1:6" ht="18.75">
      <c r="A20" s="1">
        <v>774623289</v>
      </c>
      <c r="B20" s="122" t="str">
        <f>IF(A20&lt;&gt;"", VLOOKUP(A20,'Danh Sách Tổng KH'!$A$1:$B$547,2,0),"")</f>
        <v>Nguyễn Vũ Ngọc Hạnh</v>
      </c>
      <c r="C20" s="109" t="str">
        <f t="shared" si="0"/>
        <v>Chưa nạp</v>
      </c>
      <c r="D20" s="132">
        <v>100000</v>
      </c>
      <c r="E20" s="110"/>
      <c r="F20" s="10" t="str">
        <f t="shared" si="1"/>
        <v>774623289,100000</v>
      </c>
    </row>
    <row r="21" spans="1:6" ht="18.75">
      <c r="A21" s="1">
        <v>909114118</v>
      </c>
      <c r="B21" s="122" t="str">
        <f>IF(A21&lt;&gt;"", VLOOKUP(A21,'Danh Sách Tổng KH'!$A$1:$B$547,2,0),"")</f>
        <v>Trần Thị Ngọc Nhung</v>
      </c>
      <c r="C21" s="109" t="str">
        <f t="shared" si="0"/>
        <v>Chưa nạp</v>
      </c>
      <c r="D21" s="132">
        <v>200000</v>
      </c>
      <c r="E21" s="110"/>
      <c r="F21" s="10" t="str">
        <f t="shared" si="1"/>
        <v>909114118,200000</v>
      </c>
    </row>
    <row r="22" spans="1:6" ht="18.75">
      <c r="A22" s="1">
        <v>909782559</v>
      </c>
      <c r="B22" s="122" t="str">
        <f>IF(A22&lt;&gt;"", VLOOKUP(A22,'Danh Sách Tổng KH'!$A$1:$B$547,2,0),"")</f>
        <v>Nguyễn Thị Cẩm Hường</v>
      </c>
      <c r="C22" s="109" t="str">
        <f t="shared" si="0"/>
        <v>Chưa nạp</v>
      </c>
      <c r="D22" s="132">
        <v>150000</v>
      </c>
      <c r="E22" s="110"/>
      <c r="F22" s="10" t="str">
        <f t="shared" si="1"/>
        <v>909782559,150000</v>
      </c>
    </row>
    <row r="23" spans="1:6" ht="18.75">
      <c r="A23" s="1">
        <v>906313959</v>
      </c>
      <c r="B23" s="122" t="str">
        <f>IF(A23&lt;&gt;"", VLOOKUP(A23,'Danh Sách Tổng KH'!$A$1:$B$547,2,0),"")</f>
        <v>Trần Thị Ngọc Hạnh</v>
      </c>
      <c r="C23" s="109" t="str">
        <f t="shared" si="0"/>
        <v>Chưa nạp</v>
      </c>
      <c r="D23" s="132">
        <v>150000</v>
      </c>
      <c r="E23" s="110"/>
      <c r="F23" s="10" t="str">
        <f t="shared" si="1"/>
        <v>906313959,150000</v>
      </c>
    </row>
    <row r="24" spans="1:6" ht="18.75">
      <c r="A24" s="1">
        <v>906665971</v>
      </c>
      <c r="B24" s="122" t="str">
        <f>IF(A24&lt;&gt;"", VLOOKUP(A24,'Danh Sách Tổng KH'!$A$1:$B$547,2,0),"")</f>
        <v>Trần Thị Thùy Trang</v>
      </c>
      <c r="C24" s="109" t="str">
        <f t="shared" si="0"/>
        <v>Chưa nạp</v>
      </c>
      <c r="D24" s="132">
        <v>250000</v>
      </c>
      <c r="E24" s="110"/>
      <c r="F24" s="10" t="str">
        <f t="shared" si="1"/>
        <v>906665971,250000</v>
      </c>
    </row>
    <row r="25" spans="1:6" ht="18.75">
      <c r="A25" s="1">
        <v>939590959</v>
      </c>
      <c r="B25" s="122" t="str">
        <f>IF(A25&lt;&gt;"", VLOOKUP(A25,'Danh Sách Tổng KH'!$A$1:$B$547,2,0),"")</f>
        <v>Khưu Thanh Hưng</v>
      </c>
      <c r="C25" s="109" t="str">
        <f t="shared" si="0"/>
        <v>Chưa nạp</v>
      </c>
      <c r="D25" s="132">
        <v>300000</v>
      </c>
      <c r="E25" s="110"/>
      <c r="F25" s="10" t="str">
        <f t="shared" si="1"/>
        <v>939590959,300000</v>
      </c>
    </row>
    <row r="26" spans="1:6" ht="18.75">
      <c r="A26" s="1">
        <v>939999121</v>
      </c>
      <c r="B26" s="122" t="str">
        <f>IF(A26&lt;&gt;"", VLOOKUP(A26,'Danh Sách Tổng KH'!$A$1:$B$547,2,0),"")</f>
        <v>Nguyễn Thị ái Phương</v>
      </c>
      <c r="C26" s="109" t="str">
        <f t="shared" si="0"/>
        <v>Chưa nạp</v>
      </c>
      <c r="D26" s="132">
        <v>300000</v>
      </c>
      <c r="E26" s="110"/>
      <c r="F26" s="10" t="str">
        <f t="shared" si="1"/>
        <v>939999121,300000</v>
      </c>
    </row>
    <row r="27" spans="1:6" ht="18.75">
      <c r="A27" s="1">
        <v>908429290</v>
      </c>
      <c r="B27" s="122" t="str">
        <f>IF(A27&lt;&gt;"", VLOOKUP(A27,'Danh Sách Tổng KH'!$A$1:$B$547,2,0),"")</f>
        <v>Thái Phước Khánh Vân</v>
      </c>
      <c r="C27" s="109" t="str">
        <f t="shared" si="0"/>
        <v>Chưa nạp</v>
      </c>
      <c r="D27" s="132">
        <v>50000</v>
      </c>
      <c r="E27" s="110"/>
      <c r="F27" s="10" t="str">
        <f t="shared" si="1"/>
        <v>908429290,50000</v>
      </c>
    </row>
    <row r="28" spans="1:6" ht="18.75">
      <c r="A28" s="1">
        <v>763998377</v>
      </c>
      <c r="B28" s="122" t="str">
        <f>IF(A28&lt;&gt;"", VLOOKUP(A28,'Danh Sách Tổng KH'!$A$1:$B$547,2,0),"")</f>
        <v>Nguyễn Đức Lợi</v>
      </c>
      <c r="C28" s="109" t="str">
        <f t="shared" si="0"/>
        <v>Chưa nạp</v>
      </c>
      <c r="D28" s="132">
        <v>250000</v>
      </c>
      <c r="E28" s="110"/>
      <c r="F28" s="10" t="str">
        <f t="shared" si="1"/>
        <v>763998377,250000</v>
      </c>
    </row>
    <row r="29" spans="1:6" ht="18.75">
      <c r="A29" s="1">
        <v>763998773</v>
      </c>
      <c r="B29" s="122" t="str">
        <f>IF(A29&lt;&gt;"", VLOOKUP(A29,'Danh Sách Tổng KH'!$A$1:$B$547,2,0),"")</f>
        <v>Nguyễn Đức Lợi</v>
      </c>
      <c r="C29" s="109" t="str">
        <f t="shared" si="0"/>
        <v>Chưa nạp</v>
      </c>
      <c r="D29" s="132">
        <v>300000</v>
      </c>
      <c r="E29" s="110"/>
      <c r="F29" s="10" t="str">
        <f t="shared" si="1"/>
        <v>763998773,300000</v>
      </c>
    </row>
    <row r="30" spans="1:6" ht="18.75">
      <c r="A30" s="1">
        <v>939369138</v>
      </c>
      <c r="B30" s="122" t="str">
        <f>IF(A30&lt;&gt;"", VLOOKUP(A30,'Danh Sách Tổng KH'!$A$1:$B$547,2,0),"")</f>
        <v>Huỳnh Tái Liễu</v>
      </c>
      <c r="C30" s="109" t="str">
        <f t="shared" si="0"/>
        <v>Chưa nạp</v>
      </c>
      <c r="D30" s="132">
        <v>100000</v>
      </c>
      <c r="E30" s="110"/>
      <c r="F30" s="10" t="str">
        <f t="shared" si="1"/>
        <v>939369138,100000</v>
      </c>
    </row>
    <row r="31" spans="1:6" ht="18.75">
      <c r="A31" s="1">
        <v>775538689</v>
      </c>
      <c r="B31" s="122" t="str">
        <f>IF(A31&lt;&gt;"", VLOOKUP(A31,'Danh Sách Tổng KH'!$A$1:$B$547,2,0),"")</f>
        <v>Lâm Phương Thúy</v>
      </c>
      <c r="C31" s="109" t="str">
        <f t="shared" si="0"/>
        <v>Chưa nạp</v>
      </c>
      <c r="D31" s="132">
        <v>50000</v>
      </c>
      <c r="E31" s="110"/>
      <c r="F31" s="10" t="str">
        <f t="shared" si="1"/>
        <v>775538689,50000</v>
      </c>
    </row>
    <row r="32" spans="1:6" ht="18.75">
      <c r="A32" s="1">
        <v>795852222</v>
      </c>
      <c r="B32" s="122" t="str">
        <f>IF(A32&lt;&gt;"", VLOOKUP(A32,'Danh Sách Tổng KH'!$A$1:$B$547,2,0),"")</f>
        <v>HKD BUN AQUA COFFEE</v>
      </c>
      <c r="C32" s="109" t="str">
        <f t="shared" si="0"/>
        <v>Chưa nạp</v>
      </c>
      <c r="D32" s="132">
        <v>150000</v>
      </c>
      <c r="E32" s="110"/>
      <c r="F32" s="10" t="str">
        <f t="shared" si="1"/>
        <v>795852222,150000</v>
      </c>
    </row>
    <row r="33" spans="1:6" ht="18.75">
      <c r="A33" s="1">
        <v>773441111</v>
      </c>
      <c r="B33" s="122" t="str">
        <f>IF(A33&lt;&gt;"", VLOOKUP(A33,'Danh Sách Tổng KH'!$A$1:$B$547,2,0),"")</f>
        <v>Cao Minh Hùng</v>
      </c>
      <c r="C33" s="109" t="str">
        <f t="shared" si="0"/>
        <v>Chưa nạp</v>
      </c>
      <c r="D33" s="132">
        <v>150000</v>
      </c>
      <c r="E33" s="110"/>
      <c r="F33" s="10" t="str">
        <f t="shared" si="1"/>
        <v>773441111,150000</v>
      </c>
    </row>
    <row r="34" spans="1:6" ht="18.75">
      <c r="A34" s="1">
        <v>931068439</v>
      </c>
      <c r="B34" s="122" t="str">
        <f>IF(A34&lt;&gt;"", VLOOKUP(A34,'Danh Sách Tổng KH'!$A$1:$B$547,2,0),"")</f>
        <v>Thái Thị Nô</v>
      </c>
      <c r="C34" s="109" t="str">
        <f t="shared" si="0"/>
        <v>Chưa nạp</v>
      </c>
      <c r="D34" s="132">
        <v>200000</v>
      </c>
      <c r="E34" s="110"/>
      <c r="F34" s="10" t="str">
        <f t="shared" si="1"/>
        <v>931068439,200000</v>
      </c>
    </row>
    <row r="35" spans="1:6" ht="18.75">
      <c r="A35" s="1">
        <v>777869345</v>
      </c>
      <c r="B35" s="122" t="str">
        <f>IF(A35&lt;&gt;"", VLOOKUP(A35,'Danh Sách Tổng KH'!$A$1:$B$547,2,0),"")</f>
        <v>Ngô Đặng Tuấn Nghiêm</v>
      </c>
      <c r="C35" s="109" t="str">
        <f t="shared" si="0"/>
        <v>Chưa nạp</v>
      </c>
      <c r="D35" s="132">
        <v>100000</v>
      </c>
      <c r="E35" s="110"/>
      <c r="F35" s="10" t="str">
        <f t="shared" si="1"/>
        <v>777869345,100000</v>
      </c>
    </row>
    <row r="36" spans="1:6" ht="18.75">
      <c r="A36" s="1">
        <v>778664664</v>
      </c>
      <c r="B36" s="122" t="str">
        <f>IF(A36&lt;&gt;"", VLOOKUP(A36,'Danh Sách Tổng KH'!$A$1:$B$547,2,0),"")</f>
        <v>Đào Nguyễn Dũng</v>
      </c>
      <c r="C36" s="109" t="str">
        <f t="shared" si="0"/>
        <v>Chưa nạp</v>
      </c>
      <c r="D36" s="132">
        <v>250000</v>
      </c>
      <c r="E36" s="110"/>
      <c r="F36" s="10" t="str">
        <f t="shared" si="1"/>
        <v>778664664,250000</v>
      </c>
    </row>
    <row r="37" spans="1:6" ht="18.75">
      <c r="A37" s="1">
        <v>901040568</v>
      </c>
      <c r="B37" s="122" t="str">
        <f>IF(A37&lt;&gt;"", VLOOKUP(A37,'Danh Sách Tổng KH'!$A$1:$B$547,2,0),"")</f>
        <v>Trần Khắc Nhu</v>
      </c>
      <c r="C37" s="109" t="str">
        <f t="shared" si="0"/>
        <v>Chưa nạp</v>
      </c>
      <c r="D37" s="132">
        <v>100000</v>
      </c>
      <c r="E37" s="110"/>
      <c r="F37" s="10" t="str">
        <f t="shared" si="1"/>
        <v>901040568,100000</v>
      </c>
    </row>
    <row r="38" spans="1:6" ht="18.75">
      <c r="A38" s="1">
        <v>938633589</v>
      </c>
      <c r="B38" s="122" t="str">
        <f>IF(A38&lt;&gt;"", VLOOKUP(A38,'Danh Sách Tổng KH'!$A$1:$B$547,2,0),"")</f>
        <v>Trần Khắc Nhu</v>
      </c>
      <c r="C38" s="109" t="str">
        <f t="shared" si="0"/>
        <v>Chưa nạp</v>
      </c>
      <c r="D38" s="132">
        <v>100000</v>
      </c>
      <c r="E38" s="110"/>
      <c r="F38" s="10" t="str">
        <f t="shared" si="1"/>
        <v>938633589,100000</v>
      </c>
    </row>
    <row r="39" spans="1:6" ht="18.75">
      <c r="A39" s="1">
        <v>908660885</v>
      </c>
      <c r="B39" s="122" t="str">
        <f>IF(A39&lt;&gt;"", VLOOKUP(A39,'Danh Sách Tổng KH'!$A$1:$B$547,2,0),"")</f>
        <v>Trần Khắc Nhu</v>
      </c>
      <c r="C39" s="109" t="str">
        <f t="shared" si="0"/>
        <v>Chưa nạp</v>
      </c>
      <c r="D39" s="132">
        <v>100000</v>
      </c>
      <c r="E39" s="110"/>
      <c r="F39" s="10" t="str">
        <f t="shared" si="1"/>
        <v>908660885,100000</v>
      </c>
    </row>
    <row r="40" spans="1:6" ht="18.75">
      <c r="A40" s="1">
        <v>932919279</v>
      </c>
      <c r="B40" s="122" t="str">
        <f>IF(A40&lt;&gt;"", VLOOKUP(A40,'Danh Sách Tổng KH'!$A$1:$B$547,2,0),"")</f>
        <v>Trần Khắc Nhu</v>
      </c>
      <c r="C40" s="109" t="str">
        <f t="shared" si="0"/>
        <v>Chưa nạp</v>
      </c>
      <c r="D40" s="132">
        <v>150000</v>
      </c>
      <c r="E40" s="110"/>
      <c r="F40" s="10" t="str">
        <f t="shared" si="1"/>
        <v>932919279,150000</v>
      </c>
    </row>
    <row r="41" spans="1:6" ht="18.75">
      <c r="A41" s="1">
        <v>939120964</v>
      </c>
      <c r="B41" s="122" t="str">
        <f>IF(A41&lt;&gt;"", VLOOKUP(A41,'Danh Sách Tổng KH'!$A$1:$B$547,2,0),"")</f>
        <v>Lê Thị Phương Thúy</v>
      </c>
      <c r="C41" s="109" t="str">
        <f t="shared" si="0"/>
        <v>Chưa nạp</v>
      </c>
      <c r="D41" s="132">
        <v>150000</v>
      </c>
      <c r="E41" s="110"/>
      <c r="F41" s="10" t="str">
        <f t="shared" si="1"/>
        <v>939120964,150000</v>
      </c>
    </row>
    <row r="42" spans="1:6" ht="18.75">
      <c r="A42" s="1">
        <v>939593392</v>
      </c>
      <c r="B42" s="122" t="str">
        <f>IF(A42&lt;&gt;"", VLOOKUP(A42,'Danh Sách Tổng KH'!$A$1:$B$547,2,0),"")</f>
        <v>Lê Thị Phương Thúy</v>
      </c>
      <c r="C42" s="109" t="str">
        <f t="shared" si="0"/>
        <v>Chưa nạp</v>
      </c>
      <c r="D42" s="132">
        <v>100000</v>
      </c>
      <c r="E42" s="110"/>
      <c r="F42" s="10" t="str">
        <f t="shared" si="1"/>
        <v>939593392,100000</v>
      </c>
    </row>
    <row r="43" spans="1:6" ht="18.75">
      <c r="A43" s="1">
        <v>932874864</v>
      </c>
      <c r="B43" s="122" t="str">
        <f>IF(A43&lt;&gt;"", VLOOKUP(A43,'Danh Sách Tổng KH'!$A$1:$B$547,2,0),"")</f>
        <v>Nguyễn Phát Huy</v>
      </c>
      <c r="C43" s="109" t="str">
        <f t="shared" si="0"/>
        <v>Chưa nạp</v>
      </c>
      <c r="D43" s="132">
        <v>100000</v>
      </c>
      <c r="E43" s="110"/>
      <c r="F43" s="10" t="str">
        <f t="shared" si="1"/>
        <v>932874864,100000</v>
      </c>
    </row>
    <row r="44" spans="1:6" ht="18.75">
      <c r="A44" s="1">
        <v>931091686</v>
      </c>
      <c r="B44" s="122" t="str">
        <f>IF(A44&lt;&gt;"", VLOOKUP(A44,'Danh Sách Tổng KH'!$A$1:$B$547,2,0),"")</f>
        <v>Bùi Thành Đạt</v>
      </c>
      <c r="C44" s="109" t="str">
        <f t="shared" si="0"/>
        <v>Chưa nạp</v>
      </c>
      <c r="D44" s="132">
        <v>150000</v>
      </c>
      <c r="E44" s="110"/>
      <c r="F44" s="10" t="str">
        <f t="shared" si="1"/>
        <v>931091686,150000</v>
      </c>
    </row>
    <row r="45" spans="1:6" ht="18.75">
      <c r="A45" s="1">
        <v>907613686</v>
      </c>
      <c r="B45" s="122" t="str">
        <f>IF(A45&lt;&gt;"", VLOOKUP(A45,'Danh Sách Tổng KH'!$A$1:$B$547,2,0),"")</f>
        <v>Bùi Thành Đạt</v>
      </c>
      <c r="C45" s="109" t="str">
        <f t="shared" si="0"/>
        <v>Chưa nạp</v>
      </c>
      <c r="D45" s="132">
        <v>150000</v>
      </c>
      <c r="E45" s="110"/>
      <c r="F45" s="10" t="str">
        <f t="shared" si="1"/>
        <v>907613686,150000</v>
      </c>
    </row>
    <row r="46" spans="1:6" ht="18.75">
      <c r="A46" s="1">
        <v>939279234</v>
      </c>
      <c r="B46" s="122" t="str">
        <f>IF(A46&lt;&gt;"", VLOOKUP(A46,'Danh Sách Tổng KH'!$A$1:$B$547,2,0),"")</f>
        <v>Bùi Thành Đạt</v>
      </c>
      <c r="C46" s="109" t="str">
        <f t="shared" si="0"/>
        <v>Chưa nạp</v>
      </c>
      <c r="D46" s="132">
        <v>150000</v>
      </c>
      <c r="E46" s="110"/>
      <c r="F46" s="10" t="str">
        <f t="shared" si="1"/>
        <v>939279234,150000</v>
      </c>
    </row>
    <row r="47" spans="1:6" ht="18.75">
      <c r="A47" s="1">
        <v>939294334</v>
      </c>
      <c r="B47" s="122" t="str">
        <f>IF(A47&lt;&gt;"", VLOOKUP(A47,'Danh Sách Tổng KH'!$A$1:$B$547,2,0),"")</f>
        <v>Đỗ Thị Bích Huệ</v>
      </c>
      <c r="C47" s="109" t="str">
        <f t="shared" si="0"/>
        <v>Chưa nạp</v>
      </c>
      <c r="D47" s="132">
        <v>150000</v>
      </c>
      <c r="E47" s="110"/>
      <c r="F47" s="10" t="str">
        <f t="shared" si="1"/>
        <v>939294334,150000</v>
      </c>
    </row>
    <row r="48" spans="1:6" ht="18.75">
      <c r="A48" s="1">
        <v>938081299</v>
      </c>
      <c r="B48" s="122" t="str">
        <f>IF(A48&lt;&gt;"", VLOOKUP(A48,'Danh Sách Tổng KH'!$A$1:$B$547,2,0),"")</f>
        <v>Võ Bích Phượng mẹ Huệ</v>
      </c>
      <c r="C48" s="109" t="str">
        <f t="shared" si="0"/>
        <v>Chưa nạp</v>
      </c>
      <c r="D48" s="132">
        <v>150000</v>
      </c>
      <c r="E48" s="110"/>
      <c r="F48" s="10" t="str">
        <f t="shared" si="1"/>
        <v>938081299,150000</v>
      </c>
    </row>
    <row r="49" spans="1:6" ht="18.75">
      <c r="A49" s="1">
        <v>783799099</v>
      </c>
      <c r="B49" s="122" t="str">
        <f>IF(A49&lt;&gt;"", VLOOKUP(A49,'Danh Sách Tổng KH'!$A$1:$B$547,2,0),"")</f>
        <v>Nguyễn Bích Dung</v>
      </c>
      <c r="C49" s="109" t="str">
        <f t="shared" si="0"/>
        <v>Chưa nạp</v>
      </c>
      <c r="D49" s="132">
        <v>150000</v>
      </c>
      <c r="E49" s="110"/>
      <c r="F49" s="10" t="str">
        <f t="shared" si="1"/>
        <v>783799099,150000</v>
      </c>
    </row>
    <row r="50" spans="1:6" ht="18.75">
      <c r="A50" s="1">
        <v>794384630</v>
      </c>
      <c r="B50" s="122" t="str">
        <f>IF(A50&lt;&gt;"", VLOOKUP(A50,'Danh Sách Tổng KH'!$A$1:$B$547,2,0),"")</f>
        <v>Phan Thị Tô Vy</v>
      </c>
      <c r="C50" s="109" t="str">
        <f t="shared" si="0"/>
        <v>Chưa nạp</v>
      </c>
      <c r="D50" s="132">
        <v>150000</v>
      </c>
      <c r="E50" s="110"/>
      <c r="F50" s="10" t="str">
        <f t="shared" si="1"/>
        <v>794384630,150000</v>
      </c>
    </row>
    <row r="51" spans="1:6" ht="18.75">
      <c r="A51" s="1">
        <v>901008988</v>
      </c>
      <c r="B51" s="122" t="str">
        <f>IF(A51&lt;&gt;"", VLOOKUP(A51,'Danh Sách Tổng KH'!$A$1:$B$547,2,0),"")</f>
        <v>Trần Thị Thanh Nghĩa</v>
      </c>
      <c r="C51" s="109" t="str">
        <f t="shared" si="0"/>
        <v>Chưa nạp</v>
      </c>
      <c r="D51" s="132">
        <v>150000</v>
      </c>
      <c r="E51" s="110"/>
      <c r="F51" s="10" t="str">
        <f t="shared" si="1"/>
        <v>901008988,150000</v>
      </c>
    </row>
    <row r="52" spans="1:6" ht="18.75">
      <c r="A52" s="1">
        <v>907602719</v>
      </c>
      <c r="B52" s="122" t="str">
        <f>IF(A52&lt;&gt;"", VLOOKUP(A52,'Danh Sách Tổng KH'!$A$1:$B$547,2,0),"")</f>
        <v>Nguyễn Thị Thùy Loan</v>
      </c>
      <c r="C52" s="109" t="str">
        <f t="shared" si="0"/>
        <v>Chưa nạp</v>
      </c>
      <c r="D52" s="132">
        <v>150000</v>
      </c>
      <c r="E52" s="110"/>
      <c r="F52" s="10" t="str">
        <f t="shared" si="1"/>
        <v>907602719,150000</v>
      </c>
    </row>
    <row r="53" spans="1:6" ht="18.75">
      <c r="A53" s="1">
        <v>776505199</v>
      </c>
      <c r="B53" s="122" t="str">
        <f>IF(A53&lt;&gt;"", VLOOKUP(A53,'Danh Sách Tổng KH'!$A$1:$B$547,2,0),"")</f>
        <v>Phạm Thị Mỹ Ái</v>
      </c>
      <c r="C53" s="109" t="str">
        <f t="shared" si="0"/>
        <v>Chưa nạp</v>
      </c>
      <c r="D53" s="132">
        <v>150000</v>
      </c>
      <c r="E53" s="110"/>
      <c r="F53" s="10" t="str">
        <f t="shared" si="1"/>
        <v>776505199,150000</v>
      </c>
    </row>
    <row r="54" spans="1:6" ht="18.75">
      <c r="A54" s="1">
        <v>704116115</v>
      </c>
      <c r="B54" s="122" t="str">
        <f>IF(A54&lt;&gt;"", VLOOKUP(A54,'Danh Sách Tổng KH'!$A$1:$B$547,2,0),"")</f>
        <v>Phan Văn Thu</v>
      </c>
      <c r="C54" s="109" t="str">
        <f t="shared" si="0"/>
        <v>Chưa nạp</v>
      </c>
      <c r="D54" s="132">
        <v>100000</v>
      </c>
      <c r="E54" s="110"/>
      <c r="F54" s="10" t="str">
        <f t="shared" si="1"/>
        <v>704116115,100000</v>
      </c>
    </row>
    <row r="55" spans="1:6" ht="18.75">
      <c r="A55" s="1">
        <v>901275939</v>
      </c>
      <c r="B55" s="122" t="str">
        <f>IF(A55&lt;&gt;"", VLOOKUP(A55,'Danh Sách Tổng KH'!$A$1:$B$547,2,0),"")</f>
        <v>Đinh Hoàng Vĩnh</v>
      </c>
      <c r="C55" s="109" t="str">
        <f t="shared" si="0"/>
        <v>Chưa nạp</v>
      </c>
      <c r="D55" s="132">
        <v>100000</v>
      </c>
      <c r="E55" s="110"/>
      <c r="F55" s="10" t="str">
        <f t="shared" si="1"/>
        <v>901275939,100000</v>
      </c>
    </row>
    <row r="56" spans="1:6" ht="18.75">
      <c r="A56" s="1">
        <v>907856494</v>
      </c>
      <c r="B56" s="122" t="str">
        <f>IF(A56&lt;&gt;"", VLOOKUP(A56,'Danh Sách Tổng KH'!$A$1:$B$547,2,0),"")</f>
        <v>Nguyễn Xuân Chuyên</v>
      </c>
      <c r="C56" s="109" t="str">
        <f t="shared" si="0"/>
        <v>Chưa nạp</v>
      </c>
      <c r="D56" s="132">
        <v>200000</v>
      </c>
      <c r="E56" s="110"/>
      <c r="F56" s="10" t="str">
        <f t="shared" si="1"/>
        <v>907856494,200000</v>
      </c>
    </row>
    <row r="57" spans="1:6" ht="18.75">
      <c r="A57" s="1">
        <v>907980979</v>
      </c>
      <c r="B57" s="122" t="str">
        <f>IF(A57&lt;&gt;"", VLOOKUP(A57,'Danh Sách Tổng KH'!$A$1:$B$547,2,0),"")</f>
        <v>Nguyễn Xuân Chuyên</v>
      </c>
      <c r="C57" s="109" t="str">
        <f t="shared" si="0"/>
        <v>Chưa nạp</v>
      </c>
      <c r="D57" s="132">
        <v>150000</v>
      </c>
      <c r="E57" s="110"/>
      <c r="F57" s="10" t="str">
        <f t="shared" si="1"/>
        <v>907980979,150000</v>
      </c>
    </row>
    <row r="58" spans="1:6" ht="18.75">
      <c r="A58" s="1">
        <v>939404139</v>
      </c>
      <c r="B58" s="122" t="str">
        <f>IF(A58&lt;&gt;"", VLOOKUP(A58,'Danh Sách Tổng KH'!$A$1:$B$547,2,0),"")</f>
        <v>Nguyễn Hoàng Châu</v>
      </c>
      <c r="C58" s="109" t="str">
        <f t="shared" si="0"/>
        <v>Chưa nạp</v>
      </c>
      <c r="D58" s="132">
        <v>150000</v>
      </c>
      <c r="E58" s="110"/>
      <c r="F58" s="10" t="str">
        <f t="shared" si="1"/>
        <v>939404139,150000</v>
      </c>
    </row>
    <row r="59" spans="1:6" ht="18.75">
      <c r="A59" s="1">
        <v>898058958</v>
      </c>
      <c r="B59" s="122" t="str">
        <f>IF(A59&lt;&gt;"", VLOOKUP(A59,'Danh Sách Tổng KH'!$A$1:$B$547,2,0),"")</f>
        <v>Nguyễn Kim Thảo</v>
      </c>
      <c r="C59" s="109" t="str">
        <f t="shared" si="0"/>
        <v>Chưa nạp</v>
      </c>
      <c r="D59" s="132">
        <v>50000</v>
      </c>
      <c r="E59" s="110"/>
      <c r="F59" s="10" t="str">
        <f t="shared" si="1"/>
        <v>898058958,50000</v>
      </c>
    </row>
    <row r="60" spans="1:6" ht="18.75">
      <c r="A60" s="1">
        <v>939119950</v>
      </c>
      <c r="B60" s="122" t="str">
        <f>IF(A60&lt;&gt;"", VLOOKUP(A60,'Danh Sách Tổng KH'!$A$1:$B$547,2,0),"")</f>
        <v>Châu Hoàng Vĩnh Bảo</v>
      </c>
      <c r="C60" s="109" t="str">
        <f t="shared" si="0"/>
        <v>Chưa nạp</v>
      </c>
      <c r="D60" s="132">
        <v>200000</v>
      </c>
      <c r="E60" s="110"/>
      <c r="F60" s="10" t="str">
        <f t="shared" si="1"/>
        <v>939119950,200000</v>
      </c>
    </row>
    <row r="61" spans="1:6" ht="18.75">
      <c r="A61" s="1">
        <v>908785535</v>
      </c>
      <c r="B61" s="122" t="str">
        <f>IF(A61&lt;&gt;"", VLOOKUP(A61,'Danh Sách Tổng KH'!$A$1:$B$547,2,0),"")</f>
        <v>Đặng Quốc Khánh</v>
      </c>
      <c r="C61" s="109" t="str">
        <f t="shared" si="0"/>
        <v>Chưa nạp</v>
      </c>
      <c r="D61" s="132">
        <v>50000</v>
      </c>
      <c r="E61" s="110"/>
      <c r="F61" s="10" t="str">
        <f t="shared" si="1"/>
        <v>908785535,50000</v>
      </c>
    </row>
    <row r="62" spans="1:6" ht="18.75">
      <c r="A62" s="1">
        <v>907306902</v>
      </c>
      <c r="B62" s="122" t="str">
        <f>IF(A62&lt;&gt;"", VLOOKUP(A62,'Danh Sách Tổng KH'!$A$1:$B$547,2,0),"")</f>
        <v>Đinh Thị Trâm Anh</v>
      </c>
      <c r="C62" s="109" t="str">
        <f t="shared" si="0"/>
        <v>Chưa nạp</v>
      </c>
      <c r="D62" s="132">
        <v>200000</v>
      </c>
      <c r="E62" s="110"/>
      <c r="F62" s="10" t="str">
        <f t="shared" si="1"/>
        <v>907306902,200000</v>
      </c>
    </row>
    <row r="63" spans="1:6" ht="18.75">
      <c r="A63" s="1">
        <v>939469442</v>
      </c>
      <c r="B63" s="122" t="str">
        <f>IF(A63&lt;&gt;"", VLOOKUP(A63,'Danh Sách Tổng KH'!$A$1:$B$547,2,0),"")</f>
        <v>Hộ Kinh Doanh RIO</v>
      </c>
      <c r="C63" s="109" t="str">
        <f t="shared" si="0"/>
        <v>Chưa nạp</v>
      </c>
      <c r="D63" s="132">
        <v>200000</v>
      </c>
      <c r="E63" s="110"/>
      <c r="F63" s="10" t="str">
        <f t="shared" si="1"/>
        <v>939469442,200000</v>
      </c>
    </row>
    <row r="64" spans="1:6" ht="18.75">
      <c r="A64" s="1">
        <v>907973524</v>
      </c>
      <c r="B64" s="122" t="str">
        <f>IF(A64&lt;&gt;"", VLOOKUP(A64,'Danh Sách Tổng KH'!$A$1:$B$547,2,0),"")</f>
        <v>Lê Quang Minh</v>
      </c>
      <c r="C64" s="109" t="str">
        <f t="shared" si="0"/>
        <v>Chưa nạp</v>
      </c>
      <c r="D64" s="132">
        <v>150000</v>
      </c>
      <c r="E64" s="110"/>
      <c r="F64" s="10" t="str">
        <f t="shared" si="1"/>
        <v>907973524,150000</v>
      </c>
    </row>
    <row r="65" spans="1:6" ht="18.75">
      <c r="A65" s="1">
        <v>939311223</v>
      </c>
      <c r="B65" s="122" t="str">
        <f>IF(A65&lt;&gt;"", VLOOKUP(A65,'Danh Sách Tổng KH'!$A$1:$B$547,2,0),"")</f>
        <v>Lê Thanh Huệ</v>
      </c>
      <c r="C65" s="109" t="str">
        <f t="shared" si="0"/>
        <v>Chưa nạp</v>
      </c>
      <c r="D65" s="132">
        <v>150000</v>
      </c>
      <c r="E65" s="110"/>
      <c r="F65" s="10" t="str">
        <f t="shared" si="1"/>
        <v>939311223,150000</v>
      </c>
    </row>
    <row r="66" spans="1:6" ht="18.75">
      <c r="A66" s="1">
        <v>939618156</v>
      </c>
      <c r="B66" s="122" t="str">
        <f>IF(A66&lt;&gt;"", VLOOKUP(A66,'Danh Sách Tổng KH'!$A$1:$B$547,2,0),"")</f>
        <v>Lữ Ngọc Thảo</v>
      </c>
      <c r="C66" s="109" t="str">
        <f t="shared" si="0"/>
        <v>Chưa nạp</v>
      </c>
      <c r="D66" s="132">
        <v>150000</v>
      </c>
      <c r="E66" s="110"/>
      <c r="F66" s="10" t="str">
        <f t="shared" si="1"/>
        <v>939618156,150000</v>
      </c>
    </row>
    <row r="67" spans="1:6" ht="18.75">
      <c r="A67" s="1">
        <v>939674979</v>
      </c>
      <c r="B67" s="122" t="str">
        <f>IF(A67&lt;&gt;"", VLOOKUP(A67,'Danh Sách Tổng KH'!$A$1:$B$547,2,0),"")</f>
        <v>Lê Thái Nguyên</v>
      </c>
      <c r="C67" s="109" t="str">
        <f t="shared" si="0"/>
        <v>Chưa nạp</v>
      </c>
      <c r="D67" s="132">
        <v>150000</v>
      </c>
      <c r="E67" s="110"/>
      <c r="F67" s="10" t="str">
        <f t="shared" si="1"/>
        <v>939674979,150000</v>
      </c>
    </row>
    <row r="68" spans="1:6" ht="18.75">
      <c r="A68" s="1">
        <v>909938881</v>
      </c>
      <c r="B68" s="122" t="str">
        <f>IF(A68&lt;&gt;"", VLOOKUP(A68,'Danh Sách Tổng KH'!$A$1:$B$547,2,0),"")</f>
        <v>Mạc Thu Thủy</v>
      </c>
      <c r="C68" s="109" t="str">
        <f t="shared" si="0"/>
        <v>Chưa nạp</v>
      </c>
      <c r="D68" s="132">
        <v>150000</v>
      </c>
      <c r="E68" s="110"/>
      <c r="F68" s="10" t="str">
        <f t="shared" si="1"/>
        <v>909938881,150000</v>
      </c>
    </row>
    <row r="69" spans="1:6" ht="18.75">
      <c r="A69" s="1">
        <v>939090806</v>
      </c>
      <c r="B69" s="122" t="str">
        <f>IF(A69&lt;&gt;"", VLOOKUP(A69,'Danh Sách Tổng KH'!$A$1:$B$547,2,0),"")</f>
        <v>Ngô Hoàng Hội</v>
      </c>
      <c r="C69" s="109" t="str">
        <f t="shared" si="0"/>
        <v>Chưa nạp</v>
      </c>
      <c r="D69" s="132">
        <v>100000</v>
      </c>
      <c r="E69" s="110"/>
      <c r="F69" s="10" t="str">
        <f t="shared" si="1"/>
        <v>939090806,100000</v>
      </c>
    </row>
    <row r="70" spans="1:6" ht="18.75">
      <c r="A70" s="1">
        <v>939791979</v>
      </c>
      <c r="B70" s="122" t="str">
        <f>IF(A70&lt;&gt;"", VLOOKUP(A70,'Danh Sách Tổng KH'!$A$1:$B$547,2,0),"")</f>
        <v>Nguyễn Hồng Xuân</v>
      </c>
      <c r="C70" s="109" t="str">
        <f t="shared" si="0"/>
        <v>Chưa nạp</v>
      </c>
      <c r="D70" s="132">
        <v>50000</v>
      </c>
      <c r="E70" s="110"/>
      <c r="F70" s="10" t="str">
        <f t="shared" si="1"/>
        <v>939791979,50000</v>
      </c>
    </row>
    <row r="71" spans="1:6" ht="18.75">
      <c r="A71" s="1">
        <v>779867879</v>
      </c>
      <c r="B71" s="122" t="str">
        <f>IF(A71&lt;&gt;"", VLOOKUP(A71,'Danh Sách Tổng KH'!$A$1:$B$547,2,0),"")</f>
        <v>Nguyễn Khắc Anh</v>
      </c>
      <c r="C71" s="109" t="str">
        <f t="shared" si="0"/>
        <v>Chưa nạp</v>
      </c>
      <c r="D71" s="132">
        <v>200000</v>
      </c>
      <c r="E71" s="110"/>
      <c r="F71" s="10" t="str">
        <f t="shared" si="1"/>
        <v>779867879,200000</v>
      </c>
    </row>
    <row r="72" spans="1:6" ht="18.75">
      <c r="A72" s="1">
        <v>706861199</v>
      </c>
      <c r="B72" s="122" t="str">
        <f>IF(A72&lt;&gt;"", VLOOKUP(A72,'Danh Sách Tổng KH'!$A$1:$B$547,2,0),"")</f>
        <v>Nguyễn Khắc Anh</v>
      </c>
      <c r="C72" s="109" t="str">
        <f t="shared" si="0"/>
        <v>Chưa nạp</v>
      </c>
      <c r="D72" s="132">
        <v>150000</v>
      </c>
      <c r="E72" s="110"/>
      <c r="F72" s="10" t="str">
        <f t="shared" si="1"/>
        <v>706861199,150000</v>
      </c>
    </row>
    <row r="73" spans="1:6" ht="18.75">
      <c r="A73" s="1">
        <v>939987111</v>
      </c>
      <c r="B73" s="122" t="str">
        <f>IF(A73&lt;&gt;"", VLOOKUP(A73,'Danh Sách Tổng KH'!$A$1:$B$547,2,0),"")</f>
        <v>Nguyễn Thái An</v>
      </c>
      <c r="C73" s="109" t="str">
        <f t="shared" si="0"/>
        <v>Chưa nạp</v>
      </c>
      <c r="D73" s="132">
        <v>50000</v>
      </c>
      <c r="E73" s="110"/>
      <c r="F73" s="10" t="str">
        <f t="shared" si="1"/>
        <v>939987111,50000</v>
      </c>
    </row>
    <row r="74" spans="1:6" ht="18.75">
      <c r="A74" s="1">
        <v>908261777</v>
      </c>
      <c r="B74" s="122" t="str">
        <f>IF(A74&lt;&gt;"", VLOOKUP(A74,'Danh Sách Tổng KH'!$A$1:$B$547,2,0),"")</f>
        <v>Nguyễn Thị Giang</v>
      </c>
      <c r="C74" s="109" t="str">
        <f t="shared" si="0"/>
        <v>Chưa nạp</v>
      </c>
      <c r="D74" s="132">
        <v>50000</v>
      </c>
      <c r="E74" s="110"/>
      <c r="F74" s="10" t="str">
        <f t="shared" si="1"/>
        <v>908261777,50000</v>
      </c>
    </row>
    <row r="75" spans="1:6" ht="18.75">
      <c r="A75" s="1">
        <v>939962457</v>
      </c>
      <c r="B75" s="122" t="str">
        <f>IF(A75&lt;&gt;"", VLOOKUP(A75,'Danh Sách Tổng KH'!$A$1:$B$547,2,0),"")</f>
        <v>Nguyễn Thị Xuân Liễu</v>
      </c>
      <c r="C75" s="109" t="str">
        <f t="shared" si="0"/>
        <v>Chưa nạp</v>
      </c>
      <c r="D75" s="132">
        <v>50000</v>
      </c>
      <c r="E75" s="110"/>
      <c r="F75" s="10" t="str">
        <f t="shared" si="1"/>
        <v>939962457,50000</v>
      </c>
    </row>
    <row r="76" spans="1:6" ht="18.75">
      <c r="A76" s="1">
        <v>898818809</v>
      </c>
      <c r="B76" s="122" t="str">
        <f>IF(A76&lt;&gt;"", VLOOKUP(A76,'Danh Sách Tổng KH'!$A$1:$B$547,2,0),"")</f>
        <v>NGUYỄN VĂN HOÀN</v>
      </c>
      <c r="C76" s="109" t="str">
        <f t="shared" si="0"/>
        <v>Chưa nạp</v>
      </c>
      <c r="D76" s="132">
        <v>200000</v>
      </c>
      <c r="E76" s="110"/>
      <c r="F76" s="10" t="str">
        <f t="shared" si="1"/>
        <v>898818809,200000</v>
      </c>
    </row>
    <row r="77" spans="1:6" ht="18.75">
      <c r="A77" s="1">
        <v>939793666</v>
      </c>
      <c r="B77" s="122" t="str">
        <f>IF(A77&lt;&gt;"", VLOOKUP(A77,'Danh Sách Tổng KH'!$A$1:$B$547,2,0),"")</f>
        <v>Phan Thủy Tiên</v>
      </c>
      <c r="C77" s="109" t="str">
        <f t="shared" si="0"/>
        <v>Chưa nạp</v>
      </c>
      <c r="D77" s="132">
        <v>150000</v>
      </c>
      <c r="E77" s="110"/>
      <c r="F77" s="10" t="str">
        <f t="shared" si="1"/>
        <v>939793666,150000</v>
      </c>
    </row>
    <row r="78" spans="1:6" ht="18.75">
      <c r="A78" s="1">
        <v>939994897</v>
      </c>
      <c r="B78" s="122" t="str">
        <f>IF(A78&lt;&gt;"", VLOOKUP(A78,'Danh Sách Tổng KH'!$A$1:$B$547,2,0),"")</f>
        <v>Thiệu Hoàng Thái Bình</v>
      </c>
      <c r="C78" s="109" t="str">
        <f t="shared" si="0"/>
        <v>Chưa nạp</v>
      </c>
      <c r="D78" s="132">
        <v>50000</v>
      </c>
      <c r="E78" s="110"/>
      <c r="F78" s="10" t="str">
        <f t="shared" si="1"/>
        <v>939994897,50000</v>
      </c>
    </row>
    <row r="79" spans="1:6" ht="18.75">
      <c r="A79" s="1">
        <v>939696834</v>
      </c>
      <c r="B79" s="122" t="str">
        <f>IF(A79&lt;&gt;"", VLOOKUP(A79,'Danh Sách Tổng KH'!$A$1:$B$547,2,0),"")</f>
        <v>Nguyễn Thị Mộng Ngọc</v>
      </c>
      <c r="C79" s="109" t="str">
        <f t="shared" si="0"/>
        <v>Chưa nạp</v>
      </c>
      <c r="D79" s="132">
        <v>100000</v>
      </c>
      <c r="E79" s="110"/>
      <c r="F79" s="10" t="str">
        <f t="shared" si="1"/>
        <v>939696834,100000</v>
      </c>
    </row>
    <row r="80" spans="1:6" ht="18.75">
      <c r="A80" s="1">
        <v>909987676</v>
      </c>
      <c r="B80" s="122" t="str">
        <f>IF(A80&lt;&gt;"", VLOOKUP(A80,'Danh Sách Tổng KH'!$A$1:$B$547,2,0),"")</f>
        <v>Phan Minh Cường</v>
      </c>
      <c r="C80" s="109" t="str">
        <f t="shared" si="0"/>
        <v>Chưa nạp</v>
      </c>
      <c r="D80" s="132">
        <v>500000</v>
      </c>
      <c r="E80" s="110"/>
      <c r="F80" s="10" t="str">
        <f t="shared" si="1"/>
        <v>909987676,500000</v>
      </c>
    </row>
    <row r="81" spans="1:6" ht="18.75">
      <c r="A81" s="1">
        <v>899494833</v>
      </c>
      <c r="B81" s="122" t="str">
        <f>IF(A81&lt;&gt;"", VLOOKUP(A81,'Danh Sách Tổng KH'!$A$1:$B$547,2,0),"")</f>
        <v>Mai Anh Vũ</v>
      </c>
      <c r="C81" s="109" t="str">
        <f t="shared" si="0"/>
        <v>Chưa nạp</v>
      </c>
      <c r="D81" s="132">
        <v>150000</v>
      </c>
      <c r="E81" s="110"/>
      <c r="F81" s="10" t="str">
        <f t="shared" si="1"/>
        <v>899494833,150000</v>
      </c>
    </row>
    <row r="82" spans="1:6" ht="18.75">
      <c r="A82" s="1">
        <v>798070727</v>
      </c>
      <c r="B82" s="122" t="str">
        <f>IF(A82&lt;&gt;"", VLOOKUP(A82,'Danh Sách Tổng KH'!$A$1:$B$547,2,0),"")</f>
        <v>Nguyễn Anh Tú</v>
      </c>
      <c r="C82" s="109" t="str">
        <f t="shared" si="0"/>
        <v>Chưa nạp</v>
      </c>
      <c r="D82" s="132">
        <v>150000</v>
      </c>
      <c r="E82" s="110"/>
      <c r="F82" s="10" t="str">
        <f t="shared" si="1"/>
        <v>798070727,150000</v>
      </c>
    </row>
    <row r="83" spans="1:6" ht="18.75">
      <c r="A83" s="1">
        <v>908929618</v>
      </c>
      <c r="B83" s="122" t="str">
        <f>IF(A83&lt;&gt;"", VLOOKUP(A83,'Danh Sách Tổng KH'!$A$1:$B$547,2,0),"")</f>
        <v>Huỳnh Trần Minh Tiến</v>
      </c>
      <c r="C83" s="109" t="str">
        <f t="shared" si="0"/>
        <v>Chưa nạp</v>
      </c>
      <c r="D83" s="132">
        <v>150000</v>
      </c>
      <c r="E83" s="110"/>
      <c r="F83" s="10" t="str">
        <f t="shared" si="1"/>
        <v>908929618,150000</v>
      </c>
    </row>
    <row r="84" spans="1:6" ht="18.75">
      <c r="A84" s="1">
        <v>903022161</v>
      </c>
      <c r="B84" s="122" t="str">
        <f>IF(A84&lt;&gt;"", VLOOKUP(A84,'Danh Sách Tổng KH'!$A$1:$B$547,2,0),"")</f>
        <v>Lê Văn Lý</v>
      </c>
      <c r="C84" s="109" t="str">
        <f t="shared" si="0"/>
        <v>Chưa nạp</v>
      </c>
      <c r="D84" s="132">
        <v>300000</v>
      </c>
      <c r="E84" s="110"/>
      <c r="F84" s="10" t="str">
        <f t="shared" si="1"/>
        <v>903022161,300000</v>
      </c>
    </row>
    <row r="85" spans="1:6" ht="18.75">
      <c r="A85" s="1">
        <v>939189755</v>
      </c>
      <c r="B85" s="122" t="str">
        <f>IF(A85&lt;&gt;"", VLOOKUP(A85,'Danh Sách Tổng KH'!$A$1:$B$547,2,0),"")</f>
        <v>Trần Minh Đức</v>
      </c>
      <c r="C85" s="109" t="str">
        <f t="shared" si="0"/>
        <v>Chưa nạp</v>
      </c>
      <c r="D85" s="132">
        <v>300000</v>
      </c>
      <c r="E85" s="110"/>
      <c r="F85" s="10" t="str">
        <f t="shared" si="1"/>
        <v>939189755,300000</v>
      </c>
    </row>
    <row r="86" spans="1:6" ht="18.75">
      <c r="A86" s="1">
        <v>908288927</v>
      </c>
      <c r="B86" s="122" t="str">
        <f>IF(A86&lt;&gt;"", VLOOKUP(A86,'Danh Sách Tổng KH'!$A$1:$B$547,2,0),"")</f>
        <v>Võ Thị Bích Liên</v>
      </c>
      <c r="C86" s="109" t="str">
        <f t="shared" si="0"/>
        <v>Chưa nạp</v>
      </c>
      <c r="D86" s="132">
        <v>200000</v>
      </c>
      <c r="E86" s="110"/>
      <c r="F86" s="10" t="str">
        <f t="shared" si="1"/>
        <v>908288927,200000</v>
      </c>
    </row>
    <row r="87" spans="1:6" ht="18.75">
      <c r="A87" s="1">
        <v>901062067</v>
      </c>
      <c r="B87" s="122" t="str">
        <f>IF(A87&lt;&gt;"", VLOOKUP(A87,'Danh Sách Tổng KH'!$A$1:$B$547,2,0),"")</f>
        <v>Hồ Minh Nhựt</v>
      </c>
      <c r="C87" s="109" t="str">
        <f t="shared" si="0"/>
        <v>Chưa nạp</v>
      </c>
      <c r="D87" s="132">
        <v>200000</v>
      </c>
      <c r="E87" s="110"/>
      <c r="F87" s="10" t="str">
        <f t="shared" si="1"/>
        <v>901062067,200000</v>
      </c>
    </row>
    <row r="88" spans="1:6" ht="18.75">
      <c r="A88" s="1">
        <v>901284489</v>
      </c>
      <c r="B88" s="122" t="str">
        <f>IF(A88&lt;&gt;"", VLOOKUP(A88,'Danh Sách Tổng KH'!$A$1:$B$547,2,0),"")</f>
        <v>Lê Ngọc Yến</v>
      </c>
      <c r="C88" s="109" t="str">
        <f t="shared" si="0"/>
        <v>Chưa nạp</v>
      </c>
      <c r="D88" s="132">
        <v>200000</v>
      </c>
      <c r="E88" s="110"/>
      <c r="F88" s="10" t="str">
        <f t="shared" si="1"/>
        <v>901284489,200000</v>
      </c>
    </row>
    <row r="89" spans="1:6" ht="18.75">
      <c r="A89" s="1">
        <v>932999771</v>
      </c>
      <c r="B89" s="122" t="str">
        <f>IF(A89&lt;&gt;"", VLOOKUP(A89,'Danh Sách Tổng KH'!$A$1:$B$547,2,0),"")</f>
        <v>Nguyễn Phước Thành</v>
      </c>
      <c r="C89" s="109" t="str">
        <f t="shared" si="0"/>
        <v>Chưa nạp</v>
      </c>
      <c r="D89" s="132">
        <v>150000</v>
      </c>
      <c r="E89" s="110"/>
      <c r="F89" s="10" t="str">
        <f t="shared" si="1"/>
        <v>932999771,150000</v>
      </c>
    </row>
    <row r="90" spans="1:6" ht="18.75">
      <c r="A90" s="1">
        <v>706610336</v>
      </c>
      <c r="B90" s="122" t="str">
        <f>IF(A90&lt;&gt;"", VLOOKUP(A90,'Danh Sách Tổng KH'!$A$1:$B$547,2,0),"")</f>
        <v>Lê Thị Thu Trang</v>
      </c>
      <c r="C90" s="109" t="str">
        <f t="shared" si="0"/>
        <v>Chưa nạp</v>
      </c>
      <c r="D90" s="132">
        <v>150000</v>
      </c>
      <c r="E90" s="110"/>
      <c r="F90" s="10" t="str">
        <f t="shared" si="1"/>
        <v>706610336,150000</v>
      </c>
    </row>
    <row r="91" spans="1:6" ht="18.75">
      <c r="A91" s="1">
        <v>939945943</v>
      </c>
      <c r="B91" s="122" t="str">
        <f>IF(A91&lt;&gt;"", VLOOKUP(A91,'Danh Sách Tổng KH'!$A$1:$B$547,2,0),"")</f>
        <v>Trần Văn Tư Lai</v>
      </c>
      <c r="C91" s="109" t="str">
        <f t="shared" si="0"/>
        <v>Chưa nạp</v>
      </c>
      <c r="D91" s="132">
        <v>150000</v>
      </c>
      <c r="E91" s="110"/>
      <c r="F91" s="10" t="str">
        <f t="shared" si="1"/>
        <v>939945943,150000</v>
      </c>
    </row>
    <row r="92" spans="1:6" ht="18.75">
      <c r="A92" s="1">
        <v>902542351</v>
      </c>
      <c r="B92" s="122" t="str">
        <f>IF(A92&lt;&gt;"", VLOOKUP(A92,'Danh Sách Tổng KH'!$A$1:$B$547,2,0),"")</f>
        <v>Phạm Quang Vĩnh</v>
      </c>
      <c r="C92" s="109" t="str">
        <f t="shared" si="0"/>
        <v>Chưa nạp</v>
      </c>
      <c r="D92" s="132">
        <v>150000</v>
      </c>
      <c r="E92" s="110"/>
      <c r="F92" s="10" t="str">
        <f t="shared" si="1"/>
        <v>902542351,150000</v>
      </c>
    </row>
    <row r="93" spans="1:6" ht="18.75">
      <c r="A93" s="1">
        <v>788877234</v>
      </c>
      <c r="B93" s="122" t="str">
        <f>IF(A93&lt;&gt;"", VLOOKUP(A93,'Danh Sách Tổng KH'!$A$1:$B$547,2,0),"")</f>
        <v>Phan Thị Đông Hà</v>
      </c>
      <c r="C93" s="109" t="str">
        <f t="shared" si="0"/>
        <v>Chưa nạp</v>
      </c>
      <c r="D93" s="132">
        <v>150000</v>
      </c>
      <c r="E93" s="110"/>
      <c r="F93" s="10" t="str">
        <f t="shared" si="1"/>
        <v>788877234,150000</v>
      </c>
    </row>
    <row r="94" spans="1:6" ht="18.75">
      <c r="A94" s="1">
        <v>939537375</v>
      </c>
      <c r="B94" s="122" t="str">
        <f>IF(A94&lt;&gt;"", VLOOKUP(A94,'Danh Sách Tổng KH'!$A$1:$B$547,2,0),"")</f>
        <v>Tiêu Anh Thư</v>
      </c>
      <c r="C94" s="109" t="str">
        <f t="shared" si="0"/>
        <v>Chưa nạp</v>
      </c>
      <c r="D94" s="132">
        <v>200000</v>
      </c>
      <c r="E94" s="110"/>
      <c r="F94" s="10" t="str">
        <f t="shared" si="1"/>
        <v>939537375,200000</v>
      </c>
    </row>
    <row r="95" spans="1:6" ht="18.75">
      <c r="A95" s="1">
        <v>939094494</v>
      </c>
      <c r="B95" s="122" t="str">
        <f>IF(A95&lt;&gt;"", VLOOKUP(A95,'Danh Sách Tổng KH'!$A$1:$B$547,2,0),"")</f>
        <v>HKD Hoàng Vũ</v>
      </c>
      <c r="C95" s="109" t="str">
        <f t="shared" si="0"/>
        <v>Chưa nạp</v>
      </c>
      <c r="D95" s="132">
        <v>200000</v>
      </c>
      <c r="E95" s="110"/>
      <c r="F95" s="10" t="str">
        <f t="shared" si="1"/>
        <v>939094494,200000</v>
      </c>
    </row>
    <row r="96" spans="1:6" ht="18.75">
      <c r="A96" s="1">
        <v>907095968</v>
      </c>
      <c r="B96" s="122" t="str">
        <f>IF(A96&lt;&gt;"", VLOOKUP(A96,'Danh Sách Tổng KH'!$A$1:$B$547,2,0),"")</f>
        <v>Trần Thành Tuấn</v>
      </c>
      <c r="C96" s="109" t="str">
        <f t="shared" si="0"/>
        <v>Chưa nạp</v>
      </c>
      <c r="D96" s="132">
        <v>100000</v>
      </c>
      <c r="E96" s="110"/>
      <c r="F96" s="10" t="str">
        <f t="shared" si="1"/>
        <v>907095968,100000</v>
      </c>
    </row>
    <row r="97" spans="1:6" ht="18.75">
      <c r="A97" s="1">
        <v>939412529</v>
      </c>
      <c r="B97" s="122" t="str">
        <f>IF(A97&lt;&gt;"", VLOOKUP(A97,'Danh Sách Tổng KH'!$A$1:$B$547,2,0),"")</f>
        <v>Lê Hoàng Phong</v>
      </c>
      <c r="C97" s="109" t="str">
        <f t="shared" si="0"/>
        <v>Chưa nạp</v>
      </c>
      <c r="D97" s="132">
        <v>100000</v>
      </c>
      <c r="E97" s="110"/>
      <c r="F97" s="10" t="str">
        <f t="shared" si="1"/>
        <v>939412529,100000</v>
      </c>
    </row>
    <row r="98" spans="1:6" ht="18.75">
      <c r="A98" s="1">
        <v>939706769</v>
      </c>
      <c r="B98" s="122" t="str">
        <f>IF(A98&lt;&gt;"", VLOOKUP(A98,'Danh Sách Tổng KH'!$A$1:$B$547,2,0),"")</f>
        <v>Huỳnh Quốc Anh</v>
      </c>
      <c r="C98" s="109" t="str">
        <f t="shared" si="0"/>
        <v>Chưa nạp</v>
      </c>
      <c r="D98" s="132">
        <v>100000</v>
      </c>
      <c r="E98" s="110"/>
      <c r="F98" s="10" t="str">
        <f t="shared" si="1"/>
        <v>939706769,100000</v>
      </c>
    </row>
    <row r="99" spans="1:6" ht="18.75">
      <c r="A99" s="1">
        <v>772100168</v>
      </c>
      <c r="B99" s="122" t="str">
        <f>IF(A99&lt;&gt;"", VLOOKUP(A99,'Danh Sách Tổng KH'!$A$1:$B$547,2,0),"")</f>
        <v>Lê Văn Hiếu</v>
      </c>
      <c r="C99" s="109" t="str">
        <f t="shared" si="0"/>
        <v>Chưa nạp</v>
      </c>
      <c r="D99" s="132">
        <v>100000</v>
      </c>
      <c r="E99" s="110"/>
      <c r="F99" s="10" t="str">
        <f t="shared" si="1"/>
        <v>772100168,100000</v>
      </c>
    </row>
    <row r="100" spans="1:6" ht="18.75">
      <c r="A100" s="1">
        <v>932884946</v>
      </c>
      <c r="B100" s="122" t="str">
        <f>IF(A100&lt;&gt;"", VLOOKUP(A100,'Danh Sách Tổng KH'!$A$1:$B$547,2,0),"")</f>
        <v>Ngọc Châu</v>
      </c>
      <c r="C100" s="109" t="str">
        <f t="shared" si="0"/>
        <v>Chưa nạp</v>
      </c>
      <c r="D100" s="132">
        <v>100000</v>
      </c>
      <c r="E100" s="110"/>
      <c r="F100" s="10" t="str">
        <f t="shared" si="1"/>
        <v>932884946,100000</v>
      </c>
    </row>
    <row r="101" spans="1:6" ht="18.75">
      <c r="A101" s="1">
        <v>936343799</v>
      </c>
      <c r="B101" s="122" t="str">
        <f>IF(A101&lt;&gt;"", VLOOKUP(A101,'Danh Sách Tổng KH'!$A$1:$B$547,2,0),"")</f>
        <v>Trần Văn Leo</v>
      </c>
      <c r="C101" s="109" t="str">
        <f t="shared" si="0"/>
        <v>Chưa nạp</v>
      </c>
      <c r="D101" s="132">
        <v>200000</v>
      </c>
      <c r="E101" s="110"/>
      <c r="F101" s="10" t="str">
        <f t="shared" si="1"/>
        <v>936343799,200000</v>
      </c>
    </row>
    <row r="102" spans="1:6" ht="18.75">
      <c r="A102" s="1">
        <v>905252689</v>
      </c>
      <c r="B102" s="122" t="str">
        <f>IF(A102&lt;&gt;"", VLOOKUP(A102,'Danh Sách Tổng KH'!$A$1:$B$547,2,0),"")</f>
        <v>Nguyễn Hữu Vũ</v>
      </c>
      <c r="C102" s="109" t="str">
        <f t="shared" si="0"/>
        <v>Chưa nạp</v>
      </c>
      <c r="D102" s="132">
        <v>200000</v>
      </c>
      <c r="E102" s="110"/>
      <c r="F102" s="10" t="str">
        <f t="shared" si="1"/>
        <v>905252689,200000</v>
      </c>
    </row>
    <row r="103" spans="1:6" ht="18.75">
      <c r="A103" s="1">
        <v>939528128</v>
      </c>
      <c r="B103" s="122" t="str">
        <f>IF(A103&lt;&gt;"", VLOOKUP(A103,'Danh Sách Tổng KH'!$A$1:$B$547,2,0),"")</f>
        <v>Dương Thái Châu</v>
      </c>
      <c r="C103" s="109" t="str">
        <f t="shared" si="0"/>
        <v>Chưa nạp</v>
      </c>
      <c r="D103" s="132">
        <v>100000</v>
      </c>
      <c r="E103" s="110"/>
      <c r="F103" s="10" t="str">
        <f t="shared" si="1"/>
        <v>939528128,100000</v>
      </c>
    </row>
    <row r="104" spans="1:6" ht="18.75">
      <c r="A104" s="1">
        <v>907703739</v>
      </c>
      <c r="B104" s="122" t="str">
        <f>IF(A104&lt;&gt;"", VLOOKUP(A104,'Danh Sách Tổng KH'!$A$1:$B$547,2,0),"")</f>
        <v>Lê Thị Hồng Sang</v>
      </c>
      <c r="C104" s="109" t="str">
        <f t="shared" si="0"/>
        <v>Chưa nạp</v>
      </c>
      <c r="D104" s="132">
        <v>150000</v>
      </c>
      <c r="E104" s="110"/>
      <c r="F104" s="10" t="str">
        <f t="shared" si="1"/>
        <v>907703739,150000</v>
      </c>
    </row>
    <row r="105" spans="1:6" ht="18.75">
      <c r="A105" s="1">
        <v>909353464</v>
      </c>
      <c r="B105" s="122" t="str">
        <f>IF(A105&lt;&gt;"", VLOOKUP(A105,'Danh Sách Tổng KH'!$A$1:$B$547,2,0),"")</f>
        <v>Nguyễn Khắc Dzu</v>
      </c>
      <c r="C105" s="109" t="str">
        <f t="shared" si="0"/>
        <v>Chưa nạp</v>
      </c>
      <c r="D105" s="132">
        <v>100000</v>
      </c>
      <c r="E105" s="110"/>
      <c r="F105" s="10" t="str">
        <f t="shared" si="1"/>
        <v>909353464,100000</v>
      </c>
    </row>
    <row r="106" spans="1:6" ht="18.75">
      <c r="A106" s="1">
        <v>939315606</v>
      </c>
      <c r="B106" s="122" t="str">
        <f>IF(A106&lt;&gt;"", VLOOKUP(A106,'Danh Sách Tổng KH'!$A$1:$B$547,2,0),"")</f>
        <v>HUỲNH THỊ NGỌC ĐIỆP</v>
      </c>
      <c r="C106" s="109" t="str">
        <f t="shared" si="0"/>
        <v>Chưa nạp</v>
      </c>
      <c r="D106" s="132">
        <v>300000</v>
      </c>
      <c r="E106" s="110"/>
      <c r="F106" s="10" t="str">
        <f t="shared" si="1"/>
        <v>939315606,300000</v>
      </c>
    </row>
    <row r="107" spans="1:6" ht="18.75">
      <c r="A107" s="1">
        <v>794350293</v>
      </c>
      <c r="B107" s="122" t="str">
        <f>IF(A107&lt;&gt;"", VLOOKUP(A107,'Danh Sách Tổng KH'!$A$1:$B$547,2,0),"")</f>
        <v>HUỲNH THỊ NGỌC ĐIỆP</v>
      </c>
      <c r="C107" s="109" t="str">
        <f t="shared" si="0"/>
        <v>Chưa nạp</v>
      </c>
      <c r="D107" s="132">
        <v>250000</v>
      </c>
      <c r="E107" s="110"/>
      <c r="F107" s="10" t="str">
        <f t="shared" si="1"/>
        <v>794350293,250000</v>
      </c>
    </row>
    <row r="108" spans="1:6" ht="18.75">
      <c r="A108" s="1">
        <v>349034363</v>
      </c>
      <c r="B108" s="122" t="str">
        <f>IF(A108&lt;&gt;"", VLOOKUP(A108,'Danh Sách Tổng KH'!$A$1:$B$547,2,0),"")</f>
        <v>HUỲNH THỊ NGỌC ĐIỆP</v>
      </c>
      <c r="C108" s="109" t="str">
        <f t="shared" si="0"/>
        <v>Chưa nạp</v>
      </c>
      <c r="D108" s="132">
        <v>150000</v>
      </c>
      <c r="E108" s="110"/>
      <c r="F108" s="10" t="str">
        <f t="shared" si="1"/>
        <v>349034363,150000</v>
      </c>
    </row>
    <row r="109" spans="1:6" ht="18.75">
      <c r="A109" s="1">
        <v>907768389</v>
      </c>
      <c r="B109" s="122" t="str">
        <f>IF(A109&lt;&gt;"", VLOOKUP(A109,'Danh Sách Tổng KH'!$A$1:$B$547,2,0),"")</f>
        <v>Ngô Tấn Gẩm</v>
      </c>
      <c r="C109" s="109" t="str">
        <f t="shared" si="0"/>
        <v>Chưa nạp</v>
      </c>
      <c r="D109" s="132">
        <v>100000</v>
      </c>
      <c r="E109" s="110"/>
      <c r="F109" s="10" t="str">
        <f t="shared" si="1"/>
        <v>907768389,100000</v>
      </c>
    </row>
    <row r="110" spans="1:6" ht="18.75">
      <c r="A110" s="1">
        <v>905522552</v>
      </c>
      <c r="B110" s="122" t="str">
        <f>IF(A110&lt;&gt;"", VLOOKUP(A110,'Danh Sách Tổng KH'!$A$1:$B$547,2,0),"")</f>
        <v>Bùi Xuân Vinh</v>
      </c>
      <c r="C110" s="109" t="str">
        <f t="shared" si="0"/>
        <v>Chưa nạp</v>
      </c>
      <c r="D110" s="132">
        <v>150000</v>
      </c>
      <c r="E110" s="110"/>
      <c r="F110" s="10" t="str">
        <f t="shared" si="1"/>
        <v>905522552,150000</v>
      </c>
    </row>
    <row r="111" spans="1:6" ht="18.75">
      <c r="A111" s="1">
        <v>939000349</v>
      </c>
      <c r="B111" s="122" t="str">
        <f>IF(A111&lt;&gt;"", VLOOKUP(A111,'Danh Sách Tổng KH'!$A$1:$B$547,2,0),"")</f>
        <v>Trần Thị Cẩm Tú</v>
      </c>
      <c r="C111" s="109" t="str">
        <f t="shared" si="0"/>
        <v>Chưa nạp</v>
      </c>
      <c r="D111" s="132">
        <v>150000</v>
      </c>
      <c r="E111" s="110"/>
      <c r="F111" s="10" t="str">
        <f t="shared" si="1"/>
        <v>939000349,150000</v>
      </c>
    </row>
    <row r="112" spans="1:6" ht="18.75">
      <c r="A112" s="1">
        <v>939361611</v>
      </c>
      <c r="B112" s="122" t="str">
        <f>IF(A112&lt;&gt;"", VLOOKUP(A112,'Danh Sách Tổng KH'!$A$1:$B$547,2,0),"")</f>
        <v>Nguyễn Thị Bạch Mai</v>
      </c>
      <c r="C112" s="109" t="str">
        <f t="shared" si="0"/>
        <v>Chưa nạp</v>
      </c>
      <c r="D112" s="132">
        <v>100000</v>
      </c>
      <c r="E112" s="110"/>
      <c r="F112" s="10" t="str">
        <f t="shared" si="1"/>
        <v>939361611,100000</v>
      </c>
    </row>
    <row r="113" spans="1:6" ht="18.75">
      <c r="A113" s="1">
        <v>766883381</v>
      </c>
      <c r="B113" s="122" t="str">
        <f>IF(A113&lt;&gt;"", VLOOKUP(A113,'Danh Sách Tổng KH'!$A$1:$B$547,2,0),"")</f>
        <v>Nguyễn Thị Bạch Mai</v>
      </c>
      <c r="C113" s="109" t="str">
        <f t="shared" si="0"/>
        <v>Chưa nạp</v>
      </c>
      <c r="D113" s="132">
        <v>150000</v>
      </c>
      <c r="E113" s="110"/>
      <c r="F113" s="10" t="str">
        <f t="shared" si="1"/>
        <v>766883381,150000</v>
      </c>
    </row>
    <row r="114" spans="1:6" ht="18.75">
      <c r="A114" s="1">
        <v>907880026</v>
      </c>
      <c r="B114" s="122" t="str">
        <f>IF(A114&lt;&gt;"", VLOOKUP(A114,'Danh Sách Tổng KH'!$A$1:$B$547,2,0),"")</f>
        <v>Nguyễn Minh Khoa</v>
      </c>
      <c r="C114" s="109" t="str">
        <f t="shared" si="0"/>
        <v>Chưa nạp</v>
      </c>
      <c r="D114" s="132">
        <v>150000</v>
      </c>
      <c r="E114" s="110"/>
      <c r="F114" s="10" t="str">
        <f t="shared" si="1"/>
        <v>907880026,150000</v>
      </c>
    </row>
    <row r="115" spans="1:6" ht="18.75">
      <c r="A115" s="1">
        <v>939130478</v>
      </c>
      <c r="B115" s="122" t="str">
        <f>IF(A115&lt;&gt;"", VLOOKUP(A115,'Danh Sách Tổng KH'!$A$1:$B$547,2,0),"")</f>
        <v>Nguyễn Thị Thu Hiền</v>
      </c>
      <c r="C115" s="109" t="str">
        <f t="shared" si="0"/>
        <v>Chưa nạp</v>
      </c>
      <c r="D115" s="132">
        <v>100000</v>
      </c>
      <c r="E115" s="110"/>
      <c r="F115" s="10" t="str">
        <f t="shared" si="1"/>
        <v>939130478,100000</v>
      </c>
    </row>
    <row r="116" spans="1:6" ht="18.75">
      <c r="A116" s="1">
        <v>977283949</v>
      </c>
      <c r="B116" s="122" t="str">
        <f>IF(A116&lt;&gt;"", VLOOKUP(A116,'Danh Sách Tổng KH'!$A$1:$B$547,2,0),"")</f>
        <v>Trần Thị Mộng Cầm</v>
      </c>
      <c r="C116" s="109" t="str">
        <f t="shared" si="0"/>
        <v>Chưa nạp</v>
      </c>
      <c r="D116" s="132">
        <v>250000</v>
      </c>
      <c r="E116" s="110"/>
      <c r="F116" s="10" t="str">
        <f t="shared" si="1"/>
        <v>977283949,250000</v>
      </c>
    </row>
    <row r="117" spans="1:6" ht="18.75">
      <c r="A117" s="1">
        <v>939359580</v>
      </c>
      <c r="B117" s="122" t="str">
        <f>IF(A117&lt;&gt;"", VLOOKUP(A117,'Danh Sách Tổng KH'!$A$1:$B$547,2,0),"")</f>
        <v>Trần Thị Mỹ Cầm</v>
      </c>
      <c r="C117" s="109" t="str">
        <f t="shared" si="0"/>
        <v>Chưa nạp</v>
      </c>
      <c r="D117" s="132">
        <v>650000</v>
      </c>
      <c r="E117" s="110"/>
      <c r="F117" s="10" t="str">
        <f t="shared" si="1"/>
        <v>939359580,650000</v>
      </c>
    </row>
    <row r="118" spans="1:6" ht="18.75">
      <c r="A118" s="1">
        <v>931413007</v>
      </c>
      <c r="B118" s="122" t="str">
        <f>IF(A118&lt;&gt;"", VLOOKUP(A118,'Danh Sách Tổng KH'!$A$1:$B$547,2,0),"")</f>
        <v>Dương Tuyết Trang</v>
      </c>
      <c r="C118" s="109" t="str">
        <f t="shared" si="0"/>
        <v>Chưa nạp</v>
      </c>
      <c r="D118" s="132">
        <v>200000</v>
      </c>
      <c r="E118" s="110"/>
      <c r="F118" s="10" t="str">
        <f t="shared" si="1"/>
        <v>931413007,200000</v>
      </c>
    </row>
    <row r="119" spans="1:6" ht="18.75">
      <c r="A119" s="1">
        <v>901040990</v>
      </c>
      <c r="B119" s="122" t="str">
        <f>IF(A119&lt;&gt;"", VLOOKUP(A119,'Danh Sách Tổng KH'!$A$1:$B$547,2,0),"")</f>
        <v>Dương Tuyết Trang</v>
      </c>
      <c r="C119" s="109" t="str">
        <f t="shared" si="0"/>
        <v>Chưa nạp</v>
      </c>
      <c r="D119" s="132">
        <v>150000</v>
      </c>
      <c r="E119" s="110"/>
      <c r="F119" s="10" t="str">
        <f t="shared" si="1"/>
        <v>901040990,150000</v>
      </c>
    </row>
    <row r="120" spans="1:6" ht="18.75">
      <c r="A120" s="1">
        <v>788897676</v>
      </c>
      <c r="B120" s="122" t="str">
        <f>IF(A120&lt;&gt;"", VLOOKUP(A120,'Danh Sách Tổng KH'!$A$1:$B$547,2,0),"")</f>
        <v>Nguyễn Thị Bé Thảo Em</v>
      </c>
      <c r="C120" s="109" t="str">
        <f t="shared" si="0"/>
        <v>Chưa nạp</v>
      </c>
      <c r="D120" s="132">
        <v>150000</v>
      </c>
      <c r="E120" s="110"/>
      <c r="F120" s="10" t="str">
        <f t="shared" si="1"/>
        <v>788897676,150000</v>
      </c>
    </row>
    <row r="121" spans="1:6" ht="18.75">
      <c r="A121" s="1">
        <v>782836699</v>
      </c>
      <c r="B121" s="122" t="str">
        <f>IF(A121&lt;&gt;"", VLOOKUP(A121,'Danh Sách Tổng KH'!$A$1:$B$547,2,0),"")</f>
        <v>Nguyễn Thị Bé Thảo Em</v>
      </c>
      <c r="C121" s="109" t="str">
        <f t="shared" si="0"/>
        <v>Chưa nạp</v>
      </c>
      <c r="D121" s="132">
        <v>150000</v>
      </c>
      <c r="E121" s="110"/>
      <c r="F121" s="10" t="str">
        <f t="shared" si="1"/>
        <v>782836699,150000</v>
      </c>
    </row>
    <row r="122" spans="1:6" ht="18.75">
      <c r="A122" s="1">
        <v>704747477</v>
      </c>
      <c r="B122" s="122" t="str">
        <f>IF(A122&lt;&gt;"", VLOOKUP(A122,'Danh Sách Tổng KH'!$A$1:$B$547,2,0),"")</f>
        <v>Dương Anh Tuấn</v>
      </c>
      <c r="C122" s="109" t="str">
        <f t="shared" si="0"/>
        <v>Chưa nạp</v>
      </c>
      <c r="D122" s="132">
        <v>150000</v>
      </c>
      <c r="E122" s="110"/>
      <c r="F122" s="10" t="str">
        <f t="shared" si="1"/>
        <v>704747477,150000</v>
      </c>
    </row>
    <row r="123" spans="1:6" ht="18.75">
      <c r="A123" s="1">
        <v>931081718</v>
      </c>
      <c r="B123" s="122" t="str">
        <f>IF(A123&lt;&gt;"", VLOOKUP(A123,'Danh Sách Tổng KH'!$A$1:$B$547,2,0),"")</f>
        <v>Phan Thủy Tiên</v>
      </c>
      <c r="C123" s="109" t="str">
        <f t="shared" si="0"/>
        <v>Chưa nạp</v>
      </c>
      <c r="D123" s="132">
        <v>100000</v>
      </c>
      <c r="E123" s="110"/>
      <c r="F123" s="10" t="str">
        <f t="shared" si="1"/>
        <v>931081718,100000</v>
      </c>
    </row>
    <row r="124" spans="1:6" ht="18.75">
      <c r="A124" s="1">
        <v>939067079</v>
      </c>
      <c r="B124" s="122" t="str">
        <f>IF(A124&lt;&gt;"", VLOOKUP(A124,'Danh Sách Tổng KH'!$A$1:$B$547,2,0),"")</f>
        <v>Lê Thanh Dũng</v>
      </c>
      <c r="C124" s="109" t="str">
        <f t="shared" si="0"/>
        <v>Chưa nạp</v>
      </c>
      <c r="D124" s="132">
        <v>150000</v>
      </c>
      <c r="E124" s="110"/>
      <c r="F124" s="10" t="str">
        <f t="shared" si="1"/>
        <v>939067079,150000</v>
      </c>
    </row>
    <row r="125" spans="1:6" ht="18.75">
      <c r="A125" s="1">
        <v>911468998</v>
      </c>
      <c r="B125" s="122" t="str">
        <f>IF(A125&lt;&gt;"", VLOOKUP(A125,'Danh Sách Tổng KH'!$A$1:$B$547,2,0),"")</f>
        <v>thanh chợ agri</v>
      </c>
      <c r="C125" s="109" t="str">
        <f t="shared" si="0"/>
        <v>Chưa nạp</v>
      </c>
      <c r="D125" s="132">
        <v>100000</v>
      </c>
      <c r="E125" s="110"/>
      <c r="F125" s="10" t="str">
        <f t="shared" si="1"/>
        <v>911468998,100000</v>
      </c>
    </row>
    <row r="126" spans="1:6" ht="18.75">
      <c r="A126" s="1">
        <v>764135135</v>
      </c>
      <c r="B126" s="122" t="str">
        <f>IF(A126&lt;&gt;"", VLOOKUP(A126,'Danh Sách Tổng KH'!$A$1:$B$547,2,0),"")</f>
        <v>Nguyễn Nhật Quang</v>
      </c>
      <c r="C126" s="109" t="str">
        <f t="shared" si="0"/>
        <v>Chưa nạp</v>
      </c>
      <c r="D126" s="132">
        <v>50000</v>
      </c>
      <c r="E126" s="110"/>
      <c r="F126" s="10" t="str">
        <f t="shared" si="1"/>
        <v>764135135,50000</v>
      </c>
    </row>
    <row r="127" spans="1:6" ht="18.75">
      <c r="A127" s="1">
        <v>788293949</v>
      </c>
      <c r="B127" s="122" t="str">
        <f>IF(A127&lt;&gt;"", VLOOKUP(A127,'Danh Sách Tổng KH'!$A$1:$B$547,2,0),"")</f>
        <v>Nguyễn Nhật Quang</v>
      </c>
      <c r="C127" s="109" t="str">
        <f t="shared" si="0"/>
        <v>Chưa nạp</v>
      </c>
      <c r="D127" s="132">
        <v>50000</v>
      </c>
      <c r="E127" s="110"/>
      <c r="F127" s="10" t="str">
        <f t="shared" si="1"/>
        <v>788293949,50000</v>
      </c>
    </row>
    <row r="128" spans="1:6" ht="18.75">
      <c r="A128" s="1">
        <v>787394959</v>
      </c>
      <c r="B128" s="122" t="str">
        <f>IF(A128&lt;&gt;"", VLOOKUP(A128,'Danh Sách Tổng KH'!$A$1:$B$547,2,0),"")</f>
        <v>Nguyễn Nhật Quang</v>
      </c>
      <c r="C128" s="109" t="str">
        <f t="shared" si="0"/>
        <v>Chưa nạp</v>
      </c>
      <c r="D128" s="132">
        <v>50000</v>
      </c>
      <c r="E128" s="110"/>
      <c r="F128" s="10" t="str">
        <f t="shared" si="1"/>
        <v>787394959,50000</v>
      </c>
    </row>
    <row r="129" spans="1:6" ht="18.75">
      <c r="A129" s="1">
        <v>932942394</v>
      </c>
      <c r="B129" s="122" t="str">
        <f>IF(A129&lt;&gt;"", VLOOKUP(A129,'Danh Sách Tổng KH'!$A$1:$B$547,2,0),"")</f>
        <v>Lạc Minh Thư</v>
      </c>
      <c r="C129" s="109" t="str">
        <f t="shared" si="0"/>
        <v>Chưa nạp</v>
      </c>
      <c r="D129" s="132">
        <v>150000</v>
      </c>
      <c r="E129" s="110"/>
      <c r="F129" s="10" t="str">
        <f t="shared" si="1"/>
        <v>932942394,150000</v>
      </c>
    </row>
    <row r="130" spans="1:6" ht="18.75">
      <c r="A130" s="1">
        <v>932959353</v>
      </c>
      <c r="B130" s="122" t="str">
        <f>IF(A130&lt;&gt;"", VLOOKUP(A130,'Danh Sách Tổng KH'!$A$1:$B$547,2,0),"")</f>
        <v>Lê Thanh Điền</v>
      </c>
      <c r="C130" s="109" t="str">
        <f t="shared" si="0"/>
        <v>Chưa nạp</v>
      </c>
      <c r="D130" s="132">
        <v>150000</v>
      </c>
      <c r="E130" s="110"/>
      <c r="F130" s="10" t="str">
        <f t="shared" si="1"/>
        <v>932959353,150000</v>
      </c>
    </row>
    <row r="131" spans="1:6" ht="18.75">
      <c r="A131" s="1">
        <v>901050533</v>
      </c>
      <c r="B131" s="122" t="str">
        <f>IF(A131&lt;&gt;"", VLOOKUP(A131,'Danh Sách Tổng KH'!$A$1:$B$547,2,0),"")</f>
        <v>Lâm Thị Phương Thuỷ</v>
      </c>
      <c r="C131" s="109" t="str">
        <f t="shared" si="0"/>
        <v>Chưa nạp</v>
      </c>
      <c r="D131" s="132">
        <v>150000</v>
      </c>
      <c r="E131" s="110"/>
      <c r="F131" s="10" t="str">
        <f t="shared" si="1"/>
        <v>901050533,150000</v>
      </c>
    </row>
    <row r="132" spans="1:6" ht="18.75">
      <c r="A132" s="1">
        <v>901099976</v>
      </c>
      <c r="B132" s="122" t="str">
        <f>IF(A132&lt;&gt;"", VLOOKUP(A132,'Danh Sách Tổng KH'!$A$1:$B$547,2,0),"")</f>
        <v>Lâm Thị Phương Thuỷ</v>
      </c>
      <c r="C132" s="109" t="str">
        <f t="shared" si="0"/>
        <v>Chưa nạp</v>
      </c>
      <c r="D132" s="132">
        <v>200000</v>
      </c>
      <c r="E132" s="110"/>
      <c r="F132" s="10" t="str">
        <f t="shared" si="1"/>
        <v>901099976,200000</v>
      </c>
    </row>
    <row r="133" spans="1:6" ht="18.75">
      <c r="A133" s="1">
        <v>901001639</v>
      </c>
      <c r="B133" s="122" t="str">
        <f>IF(A133&lt;&gt;"", VLOOKUP(A133,'Danh Sách Tổng KH'!$A$1:$B$547,2,0),"")</f>
        <v>Đặng Hoàng Sơn</v>
      </c>
      <c r="C133" s="109" t="str">
        <f t="shared" si="0"/>
        <v>Chưa nạp</v>
      </c>
      <c r="D133" s="132">
        <v>150000</v>
      </c>
      <c r="E133" s="110"/>
      <c r="F133" s="10" t="str">
        <f t="shared" si="1"/>
        <v>901001639,150000</v>
      </c>
    </row>
    <row r="134" spans="1:6" ht="18.75">
      <c r="A134" s="1">
        <v>909191397</v>
      </c>
      <c r="B134" s="122" t="str">
        <f>IF(A134&lt;&gt;"", VLOOKUP(A134,'Danh Sách Tổng KH'!$A$1:$B$547,2,0),"")</f>
        <v>Nguyễn Thị Mỹ Hạnh</v>
      </c>
      <c r="C134" s="109" t="str">
        <f t="shared" si="0"/>
        <v>Chưa nạp</v>
      </c>
      <c r="D134" s="132">
        <v>200000</v>
      </c>
      <c r="E134" s="110"/>
      <c r="F134" s="10" t="str">
        <f t="shared" si="1"/>
        <v>909191397,200000</v>
      </c>
    </row>
    <row r="135" spans="1:6" ht="18.75">
      <c r="A135" s="1">
        <v>939112983</v>
      </c>
      <c r="B135" s="122" t="str">
        <f>IF(A135&lt;&gt;"", VLOOKUP(A135,'Danh Sách Tổng KH'!$A$1:$B$547,2,0),"")</f>
        <v>Nguyễn Thị Kim Ngân Mật ong LP</v>
      </c>
      <c r="C135" s="109" t="str">
        <f t="shared" si="0"/>
        <v>Chưa nạp</v>
      </c>
      <c r="D135" s="132">
        <v>100000</v>
      </c>
      <c r="E135" s="110"/>
      <c r="F135" s="10" t="str">
        <f t="shared" si="1"/>
        <v>939112983,100000</v>
      </c>
    </row>
    <row r="136" spans="1:6" ht="18.75">
      <c r="A136" s="1">
        <v>776505070</v>
      </c>
      <c r="B136" s="122" t="str">
        <f>IF(A136&lt;&gt;"", VLOOKUP(A136,'Danh Sách Tổng KH'!$A$1:$B$547,2,0),"")</f>
        <v>Nguyễn Thị Quí VLXD Thành Nhơn</v>
      </c>
      <c r="C136" s="109" t="str">
        <f t="shared" si="0"/>
        <v>Chưa nạp</v>
      </c>
      <c r="D136" s="132">
        <v>150000</v>
      </c>
      <c r="E136" s="110"/>
      <c r="F136" s="129" t="str">
        <f t="shared" si="1"/>
        <v>776505070,150000</v>
      </c>
    </row>
    <row r="137" spans="1:6" ht="18.75">
      <c r="A137" s="1">
        <v>939790925</v>
      </c>
      <c r="B137" s="122" t="str">
        <f>IF(A137&lt;&gt;"", VLOOKUP(A137,'Danh Sách Tổng KH'!$A$1:$B$547,2,0),"")</f>
        <v>Lê Thị Thu Thủy</v>
      </c>
      <c r="C137" s="109" t="str">
        <f t="shared" si="0"/>
        <v>Chưa nạp</v>
      </c>
      <c r="D137" s="132">
        <v>100000</v>
      </c>
      <c r="E137" s="110"/>
      <c r="F137" s="10" t="str">
        <f t="shared" si="1"/>
        <v>939790925,100000</v>
      </c>
    </row>
    <row r="138" spans="1:6" ht="18.75">
      <c r="A138" s="1">
        <v>931069089</v>
      </c>
      <c r="B138" s="122" t="str">
        <f>IF(A138&lt;&gt;"", VLOOKUP(A138,'Danh Sách Tổng KH'!$A$1:$B$547,2,0),"")</f>
        <v>Công Ty TNHH MTV Đức Phát Hoàng Gia</v>
      </c>
      <c r="C138" s="109" t="str">
        <f t="shared" si="0"/>
        <v>Chưa nạp</v>
      </c>
      <c r="D138" s="132">
        <v>250000</v>
      </c>
      <c r="E138" s="110"/>
      <c r="F138" s="10" t="str">
        <f t="shared" si="1"/>
        <v>931069089,250000</v>
      </c>
    </row>
    <row r="139" spans="1:6" ht="18.75">
      <c r="A139" s="1">
        <v>932812977</v>
      </c>
      <c r="B139" s="122" t="str">
        <f>IF(A139&lt;&gt;"", VLOOKUP(A139,'Danh Sách Tổng KH'!$A$1:$B$547,2,0),"")</f>
        <v>Ngô Hồng Diệp</v>
      </c>
      <c r="C139" s="109" t="str">
        <f t="shared" si="0"/>
        <v>Chưa nạp</v>
      </c>
      <c r="D139" s="132">
        <v>150000</v>
      </c>
      <c r="E139" s="110"/>
      <c r="F139" s="10" t="str">
        <f t="shared" si="1"/>
        <v>932812977,150000</v>
      </c>
    </row>
    <row r="140" spans="1:6" ht="18.75">
      <c r="A140" s="1">
        <v>939231083</v>
      </c>
      <c r="B140" s="122" t="str">
        <f>IF(A140&lt;&gt;"", VLOOKUP(A140,'Danh Sách Tổng KH'!$A$1:$B$547,2,0),"")</f>
        <v>Quan Phước Thành</v>
      </c>
      <c r="C140" s="109" t="str">
        <f t="shared" si="0"/>
        <v>Chưa nạp</v>
      </c>
      <c r="D140" s="132">
        <v>150000</v>
      </c>
      <c r="E140" s="110"/>
      <c r="F140" s="10" t="str">
        <f t="shared" si="1"/>
        <v>939231083,150000</v>
      </c>
    </row>
    <row r="141" spans="1:6" ht="18.75">
      <c r="A141" s="1">
        <v>787897938</v>
      </c>
      <c r="B141" s="122" t="str">
        <f>IF(A141&lt;&gt;"", VLOOKUP(A141,'Danh Sách Tổng KH'!$A$1:$B$547,2,0),"")</f>
        <v>Đặng Hoài Thoại</v>
      </c>
      <c r="C141" s="109" t="str">
        <f t="shared" si="0"/>
        <v>Chưa nạp</v>
      </c>
      <c r="D141" s="132">
        <v>150000</v>
      </c>
      <c r="E141" s="110"/>
      <c r="F141" s="10" t="str">
        <f t="shared" si="1"/>
        <v>787897938,150000</v>
      </c>
    </row>
    <row r="142" spans="1:6" ht="18.75">
      <c r="A142" s="1">
        <v>767919168</v>
      </c>
      <c r="B142" s="122" t="str">
        <f>IF(A142&lt;&gt;"", VLOOKUP(A142,'Danh Sách Tổng KH'!$A$1:$B$547,2,0),"")</f>
        <v>Ngô Tâm Thuận</v>
      </c>
      <c r="C142" s="109" t="str">
        <f t="shared" si="0"/>
        <v>Chưa nạp</v>
      </c>
      <c r="D142" s="132">
        <v>150000</v>
      </c>
      <c r="E142" s="110"/>
      <c r="F142" s="10" t="str">
        <f t="shared" si="1"/>
        <v>767919168,150000</v>
      </c>
    </row>
    <row r="143" spans="1:6" ht="18.75">
      <c r="A143" s="1">
        <v>766829789</v>
      </c>
      <c r="B143" s="122" t="str">
        <f>IF(A143&lt;&gt;"", VLOOKUP(A143,'Danh Sách Tổng KH'!$A$1:$B$547,2,0),"")</f>
        <v>Nguyễn Phú Quí hẻm anh Thành sửa xe LP</v>
      </c>
      <c r="C143" s="109" t="str">
        <f t="shared" si="0"/>
        <v>Chưa nạp</v>
      </c>
      <c r="D143" s="132">
        <v>150000</v>
      </c>
      <c r="E143" s="110"/>
      <c r="F143" s="10" t="str">
        <f t="shared" si="1"/>
        <v>766829789,150000</v>
      </c>
    </row>
    <row r="144" spans="1:6" ht="18.75">
      <c r="A144" s="1">
        <v>901011566</v>
      </c>
      <c r="B144" s="122" t="str">
        <f>IF(A144&lt;&gt;"", VLOOKUP(A144,'Danh Sách Tổng KH'!$A$1:$B$547,2,0),"")</f>
        <v>Tống Thị Ngọc Chi</v>
      </c>
      <c r="C144" s="109" t="str">
        <f t="shared" si="0"/>
        <v>Chưa nạp</v>
      </c>
      <c r="D144" s="132">
        <v>200000</v>
      </c>
      <c r="E144" s="110"/>
      <c r="F144" s="10" t="str">
        <f t="shared" si="1"/>
        <v>901011566,200000</v>
      </c>
    </row>
    <row r="145" spans="1:6" ht="18.75">
      <c r="A145" s="1">
        <v>907982798</v>
      </c>
      <c r="B145" s="122" t="str">
        <f>IF(A145&lt;&gt;"", VLOOKUP(A145,'Danh Sách Tổng KH'!$A$1:$B$547,2,0),"")</f>
        <v>Trần Ánh Ngọc zalo Nguyễn Phước Thiện</v>
      </c>
      <c r="C145" s="109" t="str">
        <f t="shared" si="0"/>
        <v>Chưa nạp</v>
      </c>
      <c r="D145" s="132">
        <v>150000</v>
      </c>
      <c r="E145" s="110"/>
      <c r="F145" s="10" t="str">
        <f t="shared" si="1"/>
        <v>907982798,150000</v>
      </c>
    </row>
    <row r="146" spans="1:6" ht="18.75">
      <c r="A146" s="1">
        <v>907989874</v>
      </c>
      <c r="B146" s="122" t="str">
        <f>IF(A146&lt;&gt;"", VLOOKUP(A146,'Danh Sách Tổng KH'!$A$1:$B$547,2,0),"")</f>
        <v>Lâm Sơn Hiếu</v>
      </c>
      <c r="C146" s="109" t="str">
        <f t="shared" si="0"/>
        <v>Chưa nạp</v>
      </c>
      <c r="D146" s="132">
        <v>100000</v>
      </c>
      <c r="E146" s="110"/>
      <c r="F146" s="10" t="str">
        <f t="shared" si="1"/>
        <v>907989874,100000</v>
      </c>
    </row>
    <row r="147" spans="1:6" ht="18.75">
      <c r="A147" s="1">
        <v>901084883</v>
      </c>
      <c r="B147" s="122" t="str">
        <f>IF(A147&lt;&gt;"", VLOOKUP(A147,'Danh Sách Tổng KH'!$A$1:$B$547,2,0),"")</f>
        <v>Phạm Đồng Thịnh</v>
      </c>
      <c r="C147" s="109" t="str">
        <f t="shared" si="0"/>
        <v>Chưa nạp</v>
      </c>
      <c r="D147" s="132">
        <v>300000</v>
      </c>
      <c r="E147" s="110"/>
      <c r="F147" s="10" t="str">
        <f t="shared" si="1"/>
        <v>901084883,300000</v>
      </c>
    </row>
    <row r="148" spans="1:6" ht="18.75">
      <c r="A148" s="1">
        <v>907213883</v>
      </c>
      <c r="B148" s="122" t="str">
        <f>IF(A148&lt;&gt;"", VLOOKUP(A148,'Danh Sách Tổng KH'!$A$1:$B$547,2,0),"")</f>
        <v>Phạm Đồng Thịnh</v>
      </c>
      <c r="C148" s="109" t="str">
        <f t="shared" si="0"/>
        <v>Chưa nạp</v>
      </c>
      <c r="D148" s="132">
        <v>150000</v>
      </c>
      <c r="E148" s="110"/>
      <c r="F148" s="10" t="str">
        <f t="shared" si="1"/>
        <v>907213883,150000</v>
      </c>
    </row>
    <row r="149" spans="1:6" ht="18.75">
      <c r="A149" s="1">
        <v>786999189</v>
      </c>
      <c r="B149" s="122" t="str">
        <f>IF(A149&lt;&gt;"", VLOOKUP(A149,'Danh Sách Tổng KH'!$A$1:$B$547,2,0),"")</f>
        <v>Phạm Đồng Thịnh</v>
      </c>
      <c r="C149" s="109" t="str">
        <f t="shared" si="0"/>
        <v>Chưa nạp</v>
      </c>
      <c r="D149" s="132">
        <v>150000</v>
      </c>
      <c r="E149" s="110"/>
      <c r="F149" s="10" t="str">
        <f t="shared" si="1"/>
        <v>786999189,150000</v>
      </c>
    </row>
    <row r="150" spans="1:6" ht="18.75">
      <c r="A150" s="1">
        <v>901085883</v>
      </c>
      <c r="B150" s="122" t="str">
        <f>IF(A150&lt;&gt;"", VLOOKUP(A150,'Danh Sách Tổng KH'!$A$1:$B$547,2,0),"")</f>
        <v>Trần Hồng Thủy</v>
      </c>
      <c r="C150" s="109" t="str">
        <f t="shared" si="0"/>
        <v>Chưa nạp</v>
      </c>
      <c r="D150" s="132">
        <v>250000</v>
      </c>
      <c r="E150" s="110"/>
      <c r="F150" s="10" t="str">
        <f t="shared" si="1"/>
        <v>901085883,250000</v>
      </c>
    </row>
    <row r="151" spans="1:6" ht="18.75">
      <c r="A151" s="1">
        <v>907087883</v>
      </c>
      <c r="B151" s="122" t="str">
        <f>IF(A151&lt;&gt;"", VLOOKUP(A151,'Danh Sách Tổng KH'!$A$1:$B$547,2,0),"")</f>
        <v>Trần Hồng Thủy</v>
      </c>
      <c r="C151" s="109" t="str">
        <f t="shared" si="0"/>
        <v>Chưa nạp</v>
      </c>
      <c r="D151" s="132">
        <v>500000</v>
      </c>
      <c r="E151" s="110"/>
      <c r="F151" s="10" t="str">
        <f t="shared" si="1"/>
        <v>907087883,500000</v>
      </c>
    </row>
    <row r="152" spans="1:6" ht="18.75">
      <c r="A152" s="1">
        <v>769333938</v>
      </c>
      <c r="B152" s="122" t="str">
        <f>IF(A152&lt;&gt;"", VLOOKUP(A152,'Danh Sách Tổng KH'!$A$1:$B$547,2,0),"")</f>
        <v>Nguyễn Hoàng Thi xéo 90 tiền</v>
      </c>
      <c r="C152" s="109" t="str">
        <f t="shared" si="0"/>
        <v>Chưa nạp</v>
      </c>
      <c r="D152" s="132">
        <v>100000</v>
      </c>
      <c r="E152" s="110"/>
      <c r="F152" s="10" t="str">
        <f t="shared" si="1"/>
        <v>769333938,100000</v>
      </c>
    </row>
    <row r="153" spans="1:6" ht="18.75">
      <c r="A153" s="1">
        <v>939068036</v>
      </c>
      <c r="B153" s="122" t="str">
        <f>IF(A153&lt;&gt;"", VLOOKUP(A153,'Danh Sách Tổng KH'!$A$1:$B$547,2,0),"")</f>
        <v>Nguyễn Thị Trúc Phương kế út bơm cát</v>
      </c>
      <c r="C153" s="109" t="str">
        <f t="shared" si="0"/>
        <v>Chưa nạp</v>
      </c>
      <c r="D153" s="132">
        <v>150000</v>
      </c>
      <c r="E153" s="110"/>
      <c r="F153" s="10" t="str">
        <f t="shared" si="1"/>
        <v>939068036,150000</v>
      </c>
    </row>
    <row r="154" spans="1:6" ht="18.75">
      <c r="A154" s="1">
        <v>939351399</v>
      </c>
      <c r="B154" s="122" t="str">
        <f>IF(A154&lt;&gt;"", VLOOKUP(A154,'Danh Sách Tổng KH'!$A$1:$B$547,2,0),"")</f>
        <v>Đỗ Hữu Quí</v>
      </c>
      <c r="C154" s="109" t="str">
        <f t="shared" si="0"/>
        <v>Chưa nạp</v>
      </c>
      <c r="D154" s="132">
        <v>150000</v>
      </c>
      <c r="E154" s="110"/>
      <c r="F154" s="10" t="str">
        <f t="shared" si="1"/>
        <v>939351399,150000</v>
      </c>
    </row>
    <row r="155" spans="1:6" ht="18.75">
      <c r="A155" s="1">
        <v>939051399</v>
      </c>
      <c r="B155" s="122" t="str">
        <f>IF(A155&lt;&gt;"", VLOOKUP(A155,'Danh Sách Tổng KH'!$A$1:$B$547,2,0),"")</f>
        <v>Nguyễn Thị Kim Phương</v>
      </c>
      <c r="C155" s="109" t="str">
        <f t="shared" si="0"/>
        <v>Chưa nạp</v>
      </c>
      <c r="D155" s="132">
        <v>150000</v>
      </c>
      <c r="E155" s="110"/>
      <c r="F155" s="10" t="str">
        <f t="shared" si="1"/>
        <v>939051399,150000</v>
      </c>
    </row>
    <row r="156" spans="1:6" ht="18.75">
      <c r="A156" s="1">
        <v>932929916</v>
      </c>
      <c r="B156" s="122" t="str">
        <f>IF(A156&lt;&gt;"", VLOOKUP(A156,'Danh Sách Tổng KH'!$A$1:$B$547,2,0),"")</f>
        <v>Lê Thị Anh Thư</v>
      </c>
      <c r="C156" s="109" t="str">
        <f t="shared" si="0"/>
        <v>Chưa nạp</v>
      </c>
      <c r="D156" s="132">
        <v>150000</v>
      </c>
      <c r="E156" s="110"/>
      <c r="F156" s="10" t="str">
        <f t="shared" si="1"/>
        <v>932929916,150000</v>
      </c>
    </row>
    <row r="157" spans="1:6" ht="18.75">
      <c r="A157" s="1">
        <v>901076758</v>
      </c>
      <c r="B157" s="122" t="str">
        <f>IF(A157&lt;&gt;"", VLOOKUP(A157,'Danh Sách Tổng KH'!$A$1:$B$547,2,0),"")</f>
        <v>Nguyễn Văn Minh</v>
      </c>
      <c r="C157" s="109" t="str">
        <f t="shared" si="0"/>
        <v>Chưa nạp</v>
      </c>
      <c r="D157" s="132">
        <v>100000</v>
      </c>
      <c r="E157" s="110"/>
      <c r="F157" s="10" t="str">
        <f t="shared" si="1"/>
        <v>901076758,100000</v>
      </c>
    </row>
    <row r="158" spans="1:6" ht="18.75">
      <c r="A158" s="1">
        <v>796994779</v>
      </c>
      <c r="B158" s="122" t="str">
        <f>IF(A158&lt;&gt;"", VLOOKUP(A158,'Danh Sách Tổng KH'!$A$1:$B$547,2,0),"")</f>
        <v>Nguyễn Hoàng Ánh</v>
      </c>
      <c r="C158" s="109" t="str">
        <f t="shared" si="0"/>
        <v>Chưa nạp</v>
      </c>
      <c r="D158" s="132">
        <v>100000</v>
      </c>
      <c r="E158" s="110"/>
      <c r="F158" s="10" t="str">
        <f t="shared" si="1"/>
        <v>796994779,100000</v>
      </c>
    </row>
    <row r="159" spans="1:6" ht="18.75">
      <c r="A159" s="1">
        <v>763993968</v>
      </c>
      <c r="B159" s="122" t="str">
        <f>IF(A159&lt;&gt;"", VLOOKUP(A159,'Danh Sách Tổng KH'!$A$1:$B$547,2,0),"")</f>
        <v>Đinh Tấn Hưng chồ bán Lư</v>
      </c>
      <c r="C159" s="109" t="str">
        <f t="shared" si="0"/>
        <v>Chưa nạp</v>
      </c>
      <c r="D159" s="132">
        <v>150000</v>
      </c>
      <c r="E159" s="110"/>
      <c r="F159" s="10" t="str">
        <f t="shared" si="1"/>
        <v>763993968,150000</v>
      </c>
    </row>
    <row r="160" spans="1:6" ht="18.75">
      <c r="A160" s="1">
        <v>932923479</v>
      </c>
      <c r="B160" s="122" t="str">
        <f>IF(A160&lt;&gt;"", VLOOKUP(A160,'Danh Sách Tổng KH'!$A$1:$B$547,2,0),"")</f>
        <v>Huỳnh Công Trạng ck pháp y</v>
      </c>
      <c r="C160" s="109" t="str">
        <f t="shared" si="0"/>
        <v>Chưa nạp</v>
      </c>
      <c r="D160" s="132">
        <v>150000</v>
      </c>
      <c r="E160" s="110"/>
      <c r="F160" s="10" t="str">
        <f t="shared" si="1"/>
        <v>932923479,150000</v>
      </c>
    </row>
    <row r="161" spans="1:6" ht="18.75">
      <c r="A161" s="1">
        <v>794335363</v>
      </c>
      <c r="B161" s="122" t="str">
        <f>IF(A161&lt;&gt;"", VLOOKUP(A161,'Danh Sách Tổng KH'!$A$1:$B$547,2,0),"")</f>
        <v>Trần Ngô Anh Thư</v>
      </c>
      <c r="C161" s="109" t="str">
        <f t="shared" si="0"/>
        <v>Chưa nạp</v>
      </c>
      <c r="D161" s="132">
        <v>150000</v>
      </c>
      <c r="E161" s="110"/>
      <c r="F161" s="10" t="str">
        <f t="shared" si="1"/>
        <v>794335363,150000</v>
      </c>
    </row>
    <row r="162" spans="1:6" ht="18.75">
      <c r="A162" s="1">
        <v>939396063</v>
      </c>
      <c r="B162" s="122" t="str">
        <f>IF(A162&lt;&gt;"", VLOOKUP(A162,'Danh Sách Tổng KH'!$A$1:$B$547,2,0),"")</f>
        <v>Trần Quốc Tính</v>
      </c>
      <c r="C162" s="109" t="str">
        <f t="shared" si="0"/>
        <v>Chưa nạp</v>
      </c>
      <c r="D162" s="132">
        <v>150000</v>
      </c>
      <c r="E162" s="110"/>
      <c r="F162" s="10" t="str">
        <f t="shared" si="1"/>
        <v>939396063,150000</v>
      </c>
    </row>
    <row r="163" spans="1:6" ht="18.75">
      <c r="A163" s="1">
        <v>939979101</v>
      </c>
      <c r="B163" s="122" t="str">
        <f>IF(A163&lt;&gt;"", VLOOKUP(A163,'Danh Sách Tổng KH'!$A$1:$B$547,2,0),"")</f>
        <v>Lê Nguyễn Hồng Nhung</v>
      </c>
      <c r="C163" s="109" t="str">
        <f t="shared" si="0"/>
        <v>Chưa nạp</v>
      </c>
      <c r="D163" s="132">
        <v>150000</v>
      </c>
      <c r="E163" s="110"/>
      <c r="F163" s="10" t="str">
        <f t="shared" si="1"/>
        <v>939979101,150000</v>
      </c>
    </row>
    <row r="164" spans="1:6" ht="18.75">
      <c r="A164" s="1">
        <v>907880091</v>
      </c>
      <c r="B164" s="122" t="str">
        <f>IF(A164&lt;&gt;"", VLOOKUP(A164,'Danh Sách Tổng KH'!$A$1:$B$547,2,0),"")</f>
        <v>Lê Nguyễn Hồng Nhung</v>
      </c>
      <c r="C164" s="109" t="str">
        <f t="shared" si="0"/>
        <v>Chưa nạp</v>
      </c>
      <c r="D164" s="132">
        <v>150000</v>
      </c>
      <c r="E164" s="110"/>
      <c r="F164" s="10" t="str">
        <f t="shared" si="1"/>
        <v>907880091,150000</v>
      </c>
    </row>
    <row r="165" spans="1:6" ht="18.75">
      <c r="A165" s="1">
        <v>939036635</v>
      </c>
      <c r="B165" s="122" t="str">
        <f>IF(A165&lt;&gt;"", VLOOKUP(A165,'Danh Sách Tổng KH'!$A$1:$B$547,2,0),"")</f>
        <v>Lê Nguyễn Hồng Nhung vk Phúc VLXD</v>
      </c>
      <c r="C165" s="109" t="str">
        <f t="shared" si="0"/>
        <v>Chưa nạp</v>
      </c>
      <c r="D165" s="132">
        <v>150000</v>
      </c>
      <c r="E165" s="110"/>
      <c r="F165" s="10" t="str">
        <f t="shared" si="1"/>
        <v>939036635,150000</v>
      </c>
    </row>
    <row r="166" spans="1:6" ht="18.75">
      <c r="A166" s="1">
        <v>907916791</v>
      </c>
      <c r="B166" s="122" t="str">
        <f>IF(A166&lt;&gt;"", VLOOKUP(A166,'Danh Sách Tổng KH'!$A$1:$B$547,2,0),"")</f>
        <v>Nguyễn Hoài Linh</v>
      </c>
      <c r="C166" s="109" t="str">
        <f t="shared" si="0"/>
        <v>Chưa nạp</v>
      </c>
      <c r="D166" s="132">
        <v>150000</v>
      </c>
      <c r="E166" s="110"/>
      <c r="F166" s="10" t="str">
        <f t="shared" si="1"/>
        <v>907916791,150000</v>
      </c>
    </row>
    <row r="167" spans="1:6" ht="18.75">
      <c r="A167" s="1">
        <v>931108299</v>
      </c>
      <c r="B167" s="122" t="str">
        <f>IF(A167&lt;&gt;"", VLOOKUP(A167,'Danh Sách Tổng KH'!$A$1:$B$547,2,0),"")</f>
        <v>Đặng Thanh Thùy</v>
      </c>
      <c r="C167" s="109" t="str">
        <f t="shared" si="0"/>
        <v>Chưa nạp</v>
      </c>
      <c r="D167" s="132">
        <v>100000</v>
      </c>
      <c r="E167" s="110"/>
      <c r="F167" s="10" t="str">
        <f t="shared" si="1"/>
        <v>931108299,100000</v>
      </c>
    </row>
    <row r="168" spans="1:6" ht="18.75">
      <c r="A168" s="1">
        <v>933599878</v>
      </c>
      <c r="B168" s="122" t="str">
        <f>IF(A168&lt;&gt;"", VLOOKUP(A168,'Danh Sách Tổng KH'!$A$1:$B$547,2,0),"")</f>
        <v>Lê Kha Nam</v>
      </c>
      <c r="C168" s="109" t="str">
        <f t="shared" si="0"/>
        <v>Chưa nạp</v>
      </c>
      <c r="D168" s="132">
        <v>150000</v>
      </c>
      <c r="E168" s="110"/>
      <c r="F168" s="10" t="str">
        <f t="shared" si="1"/>
        <v>933599878,150000</v>
      </c>
    </row>
    <row r="169" spans="1:6" ht="18.75">
      <c r="A169" s="1">
        <v>908072288</v>
      </c>
      <c r="B169" s="122" t="str">
        <f>IF(A169&lt;&gt;"", VLOOKUP(A169,'Danh Sách Tổng KH'!$A$1:$B$547,2,0),"")</f>
        <v>Lê Kha Nam</v>
      </c>
      <c r="C169" s="109" t="str">
        <f t="shared" si="0"/>
        <v>Chưa nạp</v>
      </c>
      <c r="D169" s="132">
        <v>50000</v>
      </c>
      <c r="E169" s="110"/>
      <c r="F169" s="10" t="str">
        <f t="shared" si="1"/>
        <v>908072288,50000</v>
      </c>
    </row>
    <row r="170" spans="1:6" ht="18.75">
      <c r="A170" s="1">
        <v>766802288</v>
      </c>
      <c r="B170" s="122" t="str">
        <f>IF(A170&lt;&gt;"", VLOOKUP(A170,'Danh Sách Tổng KH'!$A$1:$B$547,2,0),"")</f>
        <v>Lê Kha Nam</v>
      </c>
      <c r="C170" s="109" t="str">
        <f t="shared" si="0"/>
        <v>Chưa nạp</v>
      </c>
      <c r="D170" s="132">
        <v>150000</v>
      </c>
      <c r="E170" s="110"/>
      <c r="F170" s="10" t="str">
        <f t="shared" si="1"/>
        <v>766802288,150000</v>
      </c>
    </row>
    <row r="171" spans="1:6" ht="18.75">
      <c r="A171" s="1">
        <v>939060859</v>
      </c>
      <c r="B171" s="122" t="str">
        <f>IF(A171&lt;&gt;"", VLOOKUP(A171,'Danh Sách Tổng KH'!$A$1:$B$547,2,0),"")</f>
        <v>Liem UBP3</v>
      </c>
      <c r="C171" s="109" t="str">
        <f t="shared" si="0"/>
        <v>Chưa nạp</v>
      </c>
      <c r="D171" s="132">
        <v>150000</v>
      </c>
      <c r="E171" s="110"/>
      <c r="F171" s="10" t="str">
        <f t="shared" si="1"/>
        <v>939060859,150000</v>
      </c>
    </row>
    <row r="172" spans="1:6" ht="18.75">
      <c r="A172" s="1">
        <v>907404881</v>
      </c>
      <c r="B172" s="122" t="str">
        <f>IF(A172&lt;&gt;"", VLOOKUP(A172,'Danh Sách Tổng KH'!$A$1:$B$547,2,0),"")</f>
        <v>Nguyễn Thanh Tuyền</v>
      </c>
      <c r="C172" s="109" t="str">
        <f t="shared" si="0"/>
        <v>Chưa nạp</v>
      </c>
      <c r="D172" s="132">
        <v>150000</v>
      </c>
      <c r="E172" s="110"/>
      <c r="F172" s="10" t="str">
        <f t="shared" si="1"/>
        <v>907404881,150000</v>
      </c>
    </row>
    <row r="173" spans="1:6" ht="18.75">
      <c r="A173" s="1">
        <v>901096676</v>
      </c>
      <c r="B173" s="122" t="str">
        <f>IF(A173&lt;&gt;"", VLOOKUP(A173,'Danh Sách Tổng KH'!$A$1:$B$547,2,0),"")</f>
        <v>Ngô Công Bằng</v>
      </c>
      <c r="C173" s="109" t="str">
        <f t="shared" si="0"/>
        <v>Chưa nạp</v>
      </c>
      <c r="D173" s="132">
        <v>200000</v>
      </c>
      <c r="E173" s="110"/>
      <c r="F173" s="10" t="str">
        <f t="shared" si="1"/>
        <v>901096676,200000</v>
      </c>
    </row>
    <row r="174" spans="1:6" ht="18.75">
      <c r="A174" s="1">
        <v>939033679</v>
      </c>
      <c r="B174" s="122" t="str">
        <f>IF(A174&lt;&gt;"", VLOOKUP(A174,'Danh Sách Tổng KH'!$A$1:$B$547,2,0),"")</f>
        <v>Phạm Võ Dạ Lý</v>
      </c>
      <c r="C174" s="109" t="str">
        <f t="shared" si="0"/>
        <v>Chưa nạp</v>
      </c>
      <c r="D174" s="132">
        <v>150000</v>
      </c>
      <c r="E174" s="110"/>
      <c r="F174" s="10" t="str">
        <f t="shared" si="1"/>
        <v>939033679,150000</v>
      </c>
    </row>
    <row r="175" spans="1:6" ht="18.75">
      <c r="A175" s="1">
        <v>766851979</v>
      </c>
      <c r="B175" s="122" t="str">
        <f>IF(A175&lt;&gt;"", VLOOKUP(A175,'Danh Sách Tổng KH'!$A$1:$B$547,2,0),"")</f>
        <v>Hoàng Hữu Nghĩa</v>
      </c>
      <c r="C175" s="109" t="str">
        <f t="shared" si="0"/>
        <v>Chưa nạp</v>
      </c>
      <c r="D175" s="132">
        <v>100000</v>
      </c>
      <c r="E175" s="110"/>
      <c r="F175" s="10" t="str">
        <f t="shared" si="1"/>
        <v>766851979,100000</v>
      </c>
    </row>
    <row r="176" spans="1:6" ht="18.75">
      <c r="A176" s="1">
        <v>939946366</v>
      </c>
      <c r="B176" s="122" t="str">
        <f>IF(A176&lt;&gt;"", VLOOKUP(A176,'Danh Sách Tổng KH'!$A$1:$B$547,2,0),"")</f>
        <v>Nguyễn Thị Hồng Đào</v>
      </c>
      <c r="C176" s="109" t="str">
        <f t="shared" si="0"/>
        <v>Chưa nạp</v>
      </c>
      <c r="D176" s="132">
        <v>250000</v>
      </c>
      <c r="E176" s="110"/>
      <c r="F176" s="10" t="str">
        <f t="shared" si="1"/>
        <v>939946366,250000</v>
      </c>
    </row>
    <row r="177" spans="1:6" ht="18.75">
      <c r="A177" s="1">
        <v>766884366</v>
      </c>
      <c r="B177" s="122" t="str">
        <f>IF(A177&lt;&gt;"", VLOOKUP(A177,'Danh Sách Tổng KH'!$A$1:$B$547,2,0),"")</f>
        <v>Võ Thành Sơn</v>
      </c>
      <c r="C177" s="109" t="str">
        <f t="shared" si="0"/>
        <v>Chưa nạp</v>
      </c>
      <c r="D177" s="132">
        <v>100000</v>
      </c>
      <c r="E177" s="110"/>
      <c r="F177" s="10" t="str">
        <f t="shared" si="1"/>
        <v>766884366,100000</v>
      </c>
    </row>
    <row r="178" spans="1:6" ht="18.75">
      <c r="A178" s="1">
        <v>782844366</v>
      </c>
      <c r="B178" s="122" t="str">
        <f>IF(A178&lt;&gt;"", VLOOKUP(A178,'Danh Sách Tổng KH'!$A$1:$B$547,2,0),"")</f>
        <v>Võ Thành Sơn</v>
      </c>
      <c r="C178" s="109" t="str">
        <f t="shared" si="0"/>
        <v>Chưa nạp</v>
      </c>
      <c r="D178" s="132">
        <v>100000</v>
      </c>
      <c r="E178" s="110"/>
      <c r="F178" s="10" t="str">
        <f t="shared" si="1"/>
        <v>782844366,100000</v>
      </c>
    </row>
    <row r="179" spans="1:6" ht="18.75">
      <c r="A179" s="1">
        <v>797380699</v>
      </c>
      <c r="B179" s="122" t="str">
        <f>IF(A179&lt;&gt;"", VLOOKUP(A179,'Danh Sách Tổng KH'!$A$1:$B$547,2,0),"")</f>
        <v>Trần Thanh Hưng</v>
      </c>
      <c r="C179" s="109" t="str">
        <f t="shared" si="0"/>
        <v>Chưa nạp</v>
      </c>
      <c r="D179" s="132">
        <v>150000</v>
      </c>
      <c r="E179" s="110"/>
      <c r="F179" s="10" t="str">
        <f t="shared" si="1"/>
        <v>797380699,150000</v>
      </c>
    </row>
    <row r="180" spans="1:6" ht="18.75">
      <c r="A180" s="1">
        <v>931782783</v>
      </c>
      <c r="B180" s="122" t="str">
        <f>IF(A180&lt;&gt;"", VLOOKUP(A180,'Danh Sách Tổng KH'!$A$1:$B$547,2,0),"")</f>
        <v>Nguyễn Minh Chí</v>
      </c>
      <c r="C180" s="109" t="str">
        <f t="shared" si="0"/>
        <v>Chưa nạp</v>
      </c>
      <c r="D180" s="132">
        <v>200000</v>
      </c>
      <c r="E180" s="110"/>
      <c r="F180" s="10" t="str">
        <f t="shared" si="1"/>
        <v>931782783,200000</v>
      </c>
    </row>
    <row r="181" spans="1:6" ht="18.75">
      <c r="A181" s="1">
        <v>901093686</v>
      </c>
      <c r="B181" s="122" t="str">
        <f>IF(A181&lt;&gt;"", VLOOKUP(A181,'Danh Sách Tổng KH'!$A$1:$B$547,2,0),"")</f>
        <v>Huỳnh Anh Tuấn</v>
      </c>
      <c r="C181" s="109" t="str">
        <f t="shared" si="0"/>
        <v>Chưa nạp</v>
      </c>
      <c r="D181" s="132">
        <v>150000</v>
      </c>
      <c r="E181" s="110"/>
      <c r="F181" s="10" t="str">
        <f t="shared" si="1"/>
        <v>901093686,150000</v>
      </c>
    </row>
    <row r="302" spans="2:5" ht="15">
      <c r="B302" s="138"/>
      <c r="C302" s="135"/>
      <c r="D302" s="128"/>
      <c r="E302" s="137"/>
    </row>
    <row r="303" spans="2:5" ht="15">
      <c r="B303" s="138"/>
      <c r="C303" s="135"/>
      <c r="D303" s="128"/>
      <c r="E303" s="137"/>
    </row>
    <row r="304" spans="2:5" ht="15">
      <c r="B304" s="138"/>
      <c r="C304" s="135"/>
      <c r="D304" s="128"/>
      <c r="E304" s="137"/>
    </row>
    <row r="305" spans="2:5" ht="15">
      <c r="B305" s="138"/>
      <c r="C305" s="135"/>
      <c r="D305" s="128"/>
      <c r="E305" s="137"/>
    </row>
    <row r="306" spans="2:5" ht="15">
      <c r="B306" s="138"/>
      <c r="C306" s="135"/>
      <c r="D306" s="128"/>
      <c r="E306" s="137"/>
    </row>
    <row r="307" spans="2:5" ht="15">
      <c r="B307" s="138"/>
      <c r="C307" s="135"/>
      <c r="D307" s="128"/>
      <c r="E307" s="137"/>
    </row>
    <row r="308" spans="2:5" ht="15">
      <c r="B308" s="138"/>
      <c r="C308" s="135"/>
      <c r="D308" s="128"/>
      <c r="E308" s="137"/>
    </row>
    <row r="309" spans="2:5" ht="15">
      <c r="B309" s="138"/>
      <c r="C309" s="135"/>
      <c r="D309" s="128"/>
      <c r="E309" s="137"/>
    </row>
    <row r="310" spans="2:5" ht="15">
      <c r="B310" s="138"/>
      <c r="C310" s="135"/>
      <c r="D310" s="128"/>
      <c r="E310" s="137"/>
    </row>
    <row r="311" spans="2:5" ht="15">
      <c r="B311" s="138"/>
      <c r="C311" s="135"/>
      <c r="D311" s="128"/>
      <c r="E311" s="137"/>
    </row>
    <row r="312" spans="2:5" ht="15">
      <c r="B312" s="138"/>
      <c r="C312" s="135"/>
      <c r="D312" s="128"/>
      <c r="E312" s="137"/>
    </row>
    <row r="313" spans="2:5" ht="15">
      <c r="B313" s="138"/>
      <c r="C313" s="135"/>
      <c r="D313" s="128"/>
      <c r="E313" s="137"/>
    </row>
    <row r="314" spans="2:5" ht="15">
      <c r="B314" s="138"/>
      <c r="C314" s="135"/>
      <c r="D314" s="128"/>
      <c r="E314" s="137"/>
    </row>
    <row r="315" spans="2:5" ht="15">
      <c r="B315" s="138"/>
      <c r="C315" s="135"/>
      <c r="D315" s="128"/>
      <c r="E315" s="137"/>
    </row>
    <row r="316" spans="2:5" ht="15">
      <c r="B316" s="138"/>
      <c r="C316" s="135"/>
      <c r="D316" s="128"/>
      <c r="E316" s="137"/>
    </row>
    <row r="317" spans="2:5" ht="15">
      <c r="B317" s="138"/>
      <c r="C317" s="135"/>
      <c r="D317" s="128"/>
      <c r="E317" s="137"/>
    </row>
    <row r="318" spans="2:5" ht="15">
      <c r="B318" s="138"/>
      <c r="C318" s="135"/>
      <c r="D318" s="128"/>
      <c r="E318" s="137"/>
    </row>
    <row r="319" spans="2:5" ht="15">
      <c r="B319" s="138"/>
      <c r="C319" s="135"/>
      <c r="D319" s="128"/>
      <c r="E319" s="137"/>
    </row>
    <row r="320" spans="2:5" ht="15">
      <c r="B320" s="138"/>
      <c r="C320" s="135"/>
      <c r="D320" s="128"/>
      <c r="E320" s="137"/>
    </row>
    <row r="321" spans="2:5" ht="15">
      <c r="B321" s="138"/>
      <c r="C321" s="135"/>
      <c r="D321" s="128"/>
      <c r="E321" s="137"/>
    </row>
    <row r="322" spans="2:5" ht="15">
      <c r="B322" s="138"/>
      <c r="C322" s="135"/>
      <c r="D322" s="128"/>
      <c r="E322" s="137"/>
    </row>
    <row r="323" spans="2:5" ht="15">
      <c r="B323" s="138"/>
      <c r="C323" s="135"/>
      <c r="D323" s="128"/>
      <c r="E323" s="137"/>
    </row>
    <row r="324" spans="2:5" ht="15">
      <c r="B324" s="138"/>
      <c r="C324" s="135"/>
      <c r="D324" s="128"/>
      <c r="E324" s="137"/>
    </row>
    <row r="325" spans="2:5" ht="15">
      <c r="B325" s="138"/>
      <c r="C325" s="135"/>
      <c r="D325" s="128"/>
      <c r="E325" s="137"/>
    </row>
    <row r="326" spans="2:5" ht="15">
      <c r="B326" s="138"/>
      <c r="C326" s="135"/>
      <c r="D326" s="128"/>
      <c r="E326" s="137"/>
    </row>
    <row r="327" spans="2:5" ht="15">
      <c r="B327" s="138"/>
      <c r="C327" s="135"/>
      <c r="D327" s="128"/>
      <c r="E327" s="137"/>
    </row>
    <row r="328" spans="2:5" ht="15">
      <c r="B328" s="138"/>
      <c r="C328" s="135"/>
      <c r="D328" s="128"/>
      <c r="E328" s="137"/>
    </row>
    <row r="329" spans="2:5" ht="15">
      <c r="B329" s="138"/>
      <c r="C329" s="135"/>
      <c r="D329" s="128"/>
      <c r="E329" s="137"/>
    </row>
    <row r="330" spans="2:5" ht="15">
      <c r="B330" s="138"/>
      <c r="C330" s="135"/>
      <c r="D330" s="128"/>
      <c r="E330" s="137"/>
    </row>
    <row r="331" spans="2:5" ht="15">
      <c r="B331" s="138"/>
      <c r="C331" s="135"/>
      <c r="D331" s="128"/>
      <c r="E331" s="137"/>
    </row>
    <row r="332" spans="2:5" ht="15">
      <c r="B332" s="138"/>
      <c r="C332" s="135"/>
      <c r="D332" s="128"/>
      <c r="E332" s="137"/>
    </row>
    <row r="333" spans="2:5" ht="15">
      <c r="B333" s="138"/>
      <c r="C333" s="135"/>
      <c r="D333" s="128"/>
      <c r="E333" s="137"/>
    </row>
    <row r="334" spans="2:5" ht="15">
      <c r="B334" s="138"/>
      <c r="C334" s="135"/>
      <c r="D334" s="128"/>
      <c r="E334" s="137"/>
    </row>
    <row r="335" spans="2:5" ht="15">
      <c r="B335" s="138"/>
      <c r="C335" s="135"/>
      <c r="D335" s="128"/>
      <c r="E335" s="137"/>
    </row>
    <row r="336" spans="2:5" ht="15">
      <c r="B336" s="138"/>
      <c r="C336" s="135"/>
      <c r="D336" s="128"/>
      <c r="E336" s="137"/>
    </row>
    <row r="337" spans="2:5" ht="15">
      <c r="B337" s="138"/>
      <c r="C337" s="135"/>
      <c r="D337" s="128"/>
      <c r="E337" s="137"/>
    </row>
    <row r="338" spans="2:5" ht="15">
      <c r="B338" s="138"/>
      <c r="C338" s="135"/>
      <c r="D338" s="128"/>
      <c r="E338" s="137"/>
    </row>
    <row r="339" spans="2:5" ht="15">
      <c r="B339" s="138"/>
      <c r="C339" s="135"/>
      <c r="D339" s="128"/>
      <c r="E339" s="137"/>
    </row>
    <row r="340" spans="2:5" ht="15">
      <c r="B340" s="138"/>
      <c r="C340" s="135"/>
      <c r="D340" s="128"/>
      <c r="E340" s="137"/>
    </row>
    <row r="341" spans="2:5" ht="15">
      <c r="B341" s="138"/>
      <c r="C341" s="135"/>
      <c r="D341" s="128"/>
      <c r="E341" s="137"/>
    </row>
    <row r="342" spans="2:5" ht="15">
      <c r="B342" s="138"/>
      <c r="C342" s="135"/>
      <c r="D342" s="128"/>
      <c r="E342" s="137"/>
    </row>
    <row r="343" spans="2:5" ht="15">
      <c r="B343" s="138"/>
      <c r="C343" s="135"/>
      <c r="D343" s="128"/>
      <c r="E343" s="137"/>
    </row>
    <row r="344" spans="2:5" ht="15">
      <c r="B344" s="138"/>
      <c r="C344" s="135"/>
      <c r="D344" s="128"/>
      <c r="E344" s="137"/>
    </row>
    <row r="345" spans="2:5" ht="15">
      <c r="B345" s="138"/>
      <c r="C345" s="135"/>
      <c r="D345" s="128"/>
      <c r="E345" s="137"/>
    </row>
    <row r="346" spans="2:5" ht="15">
      <c r="B346" s="138"/>
      <c r="C346" s="135"/>
      <c r="D346" s="128"/>
      <c r="E346" s="137"/>
    </row>
    <row r="347" spans="2:5" ht="15">
      <c r="B347" s="138"/>
      <c r="C347" s="135"/>
      <c r="D347" s="128"/>
      <c r="E347" s="137"/>
    </row>
    <row r="348" spans="2:5" ht="15">
      <c r="B348" s="138"/>
      <c r="C348" s="135"/>
      <c r="D348" s="128"/>
      <c r="E348" s="137"/>
    </row>
    <row r="349" spans="2:5" ht="15">
      <c r="B349" s="138"/>
      <c r="C349" s="135"/>
      <c r="D349" s="128"/>
      <c r="E349" s="137"/>
    </row>
    <row r="350" spans="2:5" ht="15">
      <c r="B350" s="138"/>
      <c r="C350" s="135"/>
      <c r="D350" s="128"/>
      <c r="E350" s="137"/>
    </row>
    <row r="351" spans="2:5" ht="15">
      <c r="B351" s="138"/>
      <c r="C351" s="135"/>
      <c r="D351" s="128"/>
      <c r="E351" s="137"/>
    </row>
    <row r="352" spans="2:5" ht="15">
      <c r="B352" s="138"/>
      <c r="C352" s="135"/>
      <c r="D352" s="128"/>
      <c r="E352" s="137"/>
    </row>
    <row r="353" spans="2:5" ht="15">
      <c r="B353" s="138"/>
      <c r="C353" s="135"/>
      <c r="D353" s="128"/>
      <c r="E353" s="137"/>
    </row>
    <row r="354" spans="2:5" ht="15">
      <c r="B354" s="138"/>
      <c r="C354" s="135"/>
      <c r="D354" s="128"/>
      <c r="E354" s="137"/>
    </row>
    <row r="355" spans="2:5" ht="15">
      <c r="B355" s="138"/>
      <c r="C355" s="135"/>
      <c r="D355" s="128"/>
      <c r="E355" s="137"/>
    </row>
    <row r="356" spans="2:5" ht="15">
      <c r="B356" s="138"/>
      <c r="C356" s="135"/>
      <c r="D356" s="128"/>
      <c r="E356" s="137"/>
    </row>
    <row r="357" spans="2:5" ht="15">
      <c r="B357" s="138"/>
      <c r="C357" s="135"/>
      <c r="D357" s="128"/>
      <c r="E357" s="137"/>
    </row>
    <row r="358" spans="2:5" ht="15">
      <c r="B358" s="138"/>
      <c r="C358" s="135"/>
      <c r="D358" s="128"/>
      <c r="E358" s="137"/>
    </row>
    <row r="359" spans="2:5" ht="15">
      <c r="B359" s="138"/>
      <c r="C359" s="135"/>
      <c r="D359" s="128"/>
      <c r="E359" s="137"/>
    </row>
    <row r="360" spans="2:5" ht="15">
      <c r="B360" s="138"/>
      <c r="C360" s="135"/>
      <c r="D360" s="128"/>
      <c r="E360" s="137"/>
    </row>
    <row r="361" spans="2:5" ht="15">
      <c r="B361" s="138"/>
      <c r="C361" s="135"/>
      <c r="D361" s="128"/>
      <c r="E361" s="137"/>
    </row>
    <row r="362" spans="2:5" ht="15">
      <c r="B362" s="138"/>
      <c r="C362" s="135"/>
      <c r="D362" s="128"/>
      <c r="E362" s="137"/>
    </row>
    <row r="363" spans="2:5" ht="15">
      <c r="B363" s="138"/>
      <c r="C363" s="135"/>
      <c r="D363" s="128"/>
      <c r="E363" s="137"/>
    </row>
    <row r="364" spans="2:5" ht="15">
      <c r="B364" s="138"/>
      <c r="C364" s="135"/>
      <c r="D364" s="128"/>
      <c r="E364" s="137"/>
    </row>
    <row r="365" spans="2:5" ht="15">
      <c r="B365" s="138"/>
      <c r="C365" s="135"/>
      <c r="D365" s="128"/>
      <c r="E365" s="137"/>
    </row>
    <row r="366" spans="2:5" ht="15">
      <c r="B366" s="138"/>
      <c r="C366" s="135"/>
      <c r="D366" s="128"/>
      <c r="E366" s="137"/>
    </row>
    <row r="367" spans="2:5" ht="15">
      <c r="B367" s="138"/>
      <c r="C367" s="135"/>
      <c r="D367" s="128"/>
      <c r="E367" s="137"/>
    </row>
    <row r="368" spans="2:5" ht="15">
      <c r="B368" s="138"/>
      <c r="C368" s="135"/>
      <c r="D368" s="128"/>
      <c r="E368" s="137"/>
    </row>
    <row r="369" spans="2:5" ht="15">
      <c r="B369" s="138"/>
      <c r="C369" s="135"/>
      <c r="D369" s="128"/>
      <c r="E369" s="137"/>
    </row>
    <row r="370" spans="2:5" ht="15">
      <c r="B370" s="138"/>
      <c r="C370" s="135"/>
      <c r="D370" s="128"/>
      <c r="E370" s="137"/>
    </row>
    <row r="371" spans="2:5" ht="15">
      <c r="B371" s="138"/>
      <c r="C371" s="135"/>
      <c r="D371" s="128"/>
      <c r="E371" s="137"/>
    </row>
    <row r="372" spans="2:5" ht="15">
      <c r="B372" s="138"/>
      <c r="C372" s="135"/>
      <c r="D372" s="128"/>
      <c r="E372" s="137"/>
    </row>
    <row r="373" spans="2:5" ht="15">
      <c r="B373" s="138"/>
      <c r="C373" s="135"/>
      <c r="D373" s="128"/>
      <c r="E373" s="137"/>
    </row>
    <row r="374" spans="2:5" ht="15">
      <c r="B374" s="138"/>
      <c r="C374" s="135"/>
      <c r="D374" s="128"/>
      <c r="E374" s="137"/>
    </row>
    <row r="375" spans="2:5" ht="15">
      <c r="B375" s="138"/>
      <c r="C375" s="135"/>
      <c r="D375" s="128"/>
      <c r="E375" s="137"/>
    </row>
    <row r="376" spans="2:5" ht="15">
      <c r="B376" s="138"/>
      <c r="C376" s="135"/>
      <c r="D376" s="128"/>
      <c r="E376" s="137"/>
    </row>
    <row r="377" spans="2:5" ht="15">
      <c r="B377" s="138"/>
      <c r="C377" s="135"/>
      <c r="D377" s="128"/>
      <c r="E377" s="137"/>
    </row>
    <row r="378" spans="2:5" ht="15">
      <c r="B378" s="138"/>
      <c r="C378" s="135"/>
      <c r="D378" s="128"/>
      <c r="E378" s="137"/>
    </row>
    <row r="379" spans="2:5" ht="15">
      <c r="B379" s="138"/>
      <c r="C379" s="135"/>
      <c r="D379" s="128"/>
      <c r="E379" s="137"/>
    </row>
    <row r="380" spans="2:5" ht="15">
      <c r="B380" s="138"/>
      <c r="C380" s="135"/>
      <c r="D380" s="128"/>
      <c r="E380" s="137"/>
    </row>
    <row r="381" spans="2:5" ht="15">
      <c r="B381" s="138"/>
      <c r="C381" s="135"/>
      <c r="D381" s="128"/>
      <c r="E381" s="137"/>
    </row>
    <row r="382" spans="2:5" ht="15">
      <c r="B382" s="138"/>
      <c r="C382" s="135"/>
      <c r="D382" s="128"/>
      <c r="E382" s="137"/>
    </row>
    <row r="383" spans="2:5" ht="15">
      <c r="B383" s="138"/>
      <c r="C383" s="135"/>
      <c r="D383" s="128"/>
      <c r="E383" s="137"/>
    </row>
    <row r="384" spans="2:5" ht="15">
      <c r="B384" s="138"/>
      <c r="C384" s="135"/>
      <c r="D384" s="128"/>
      <c r="E384" s="137"/>
    </row>
    <row r="385" spans="2:5" ht="15">
      <c r="B385" s="138"/>
      <c r="C385" s="135"/>
      <c r="D385" s="128"/>
      <c r="E385" s="137"/>
    </row>
    <row r="386" spans="2:5" ht="15">
      <c r="B386" s="138"/>
      <c r="C386" s="135"/>
      <c r="D386" s="128"/>
      <c r="E386" s="137"/>
    </row>
    <row r="387" spans="2:5" ht="15">
      <c r="B387" s="138"/>
      <c r="C387" s="135"/>
      <c r="D387" s="128"/>
      <c r="E387" s="137"/>
    </row>
    <row r="388" spans="2:5" ht="15">
      <c r="B388" s="138"/>
      <c r="C388" s="135"/>
      <c r="D388" s="128"/>
      <c r="E388" s="137"/>
    </row>
    <row r="389" spans="2:5" ht="15">
      <c r="B389" s="138"/>
      <c r="C389" s="135"/>
      <c r="D389" s="128"/>
      <c r="E389" s="137"/>
    </row>
    <row r="390" spans="2:5" ht="15">
      <c r="B390" s="138"/>
      <c r="C390" s="135"/>
      <c r="D390" s="128"/>
      <c r="E390" s="137"/>
    </row>
    <row r="391" spans="2:5" ht="15">
      <c r="B391" s="138"/>
      <c r="C391" s="135"/>
      <c r="D391" s="128"/>
      <c r="E391" s="137"/>
    </row>
    <row r="392" spans="2:5" ht="15">
      <c r="B392" s="138"/>
      <c r="C392" s="135"/>
      <c r="D392" s="128"/>
      <c r="E392" s="137"/>
    </row>
    <row r="393" spans="2:5" ht="15">
      <c r="B393" s="138"/>
      <c r="C393" s="135"/>
      <c r="D393" s="128"/>
      <c r="E393" s="137"/>
    </row>
    <row r="394" spans="2:5" ht="15">
      <c r="B394" s="138"/>
      <c r="C394" s="135"/>
      <c r="D394" s="128"/>
      <c r="E394" s="137"/>
    </row>
    <row r="395" spans="2:5" ht="15">
      <c r="B395" s="138"/>
      <c r="C395" s="135"/>
      <c r="D395" s="128"/>
      <c r="E395" s="137"/>
    </row>
    <row r="396" spans="2:5" ht="15">
      <c r="B396" s="138"/>
      <c r="C396" s="135"/>
      <c r="D396" s="128"/>
      <c r="E396" s="137"/>
    </row>
    <row r="397" spans="2:5" ht="15">
      <c r="B397" s="138"/>
      <c r="C397" s="135"/>
      <c r="D397" s="128"/>
      <c r="E397" s="137"/>
    </row>
    <row r="398" spans="2:5" ht="15">
      <c r="B398" s="138"/>
      <c r="C398" s="135"/>
      <c r="D398" s="128"/>
      <c r="E398" s="137"/>
    </row>
    <row r="399" spans="2:5" ht="15">
      <c r="B399" s="138"/>
      <c r="C399" s="135"/>
      <c r="D399" s="128"/>
      <c r="E399" s="137"/>
    </row>
    <row r="400" spans="2:5" ht="15">
      <c r="B400" s="138"/>
      <c r="C400" s="135"/>
      <c r="D400" s="128"/>
      <c r="E400" s="137"/>
    </row>
    <row r="401" spans="2:5" ht="15">
      <c r="B401" s="138"/>
      <c r="C401" s="135"/>
      <c r="D401" s="128"/>
      <c r="E401" s="137"/>
    </row>
    <row r="402" spans="2:5" ht="15">
      <c r="B402" s="138"/>
      <c r="C402" s="135"/>
      <c r="D402" s="128"/>
      <c r="E402" s="137"/>
    </row>
    <row r="403" spans="2:5" ht="15">
      <c r="B403" s="138"/>
      <c r="C403" s="135"/>
      <c r="D403" s="128"/>
      <c r="E403" s="137"/>
    </row>
    <row r="404" spans="2:5" ht="15">
      <c r="B404" s="138"/>
      <c r="C404" s="135"/>
      <c r="D404" s="128"/>
      <c r="E404" s="137"/>
    </row>
    <row r="405" spans="2:5" ht="15">
      <c r="B405" s="138"/>
      <c r="C405" s="135"/>
      <c r="D405" s="128"/>
      <c r="E405" s="137"/>
    </row>
    <row r="406" spans="2:5" ht="15">
      <c r="B406" s="138"/>
      <c r="C406" s="135"/>
      <c r="D406" s="128"/>
      <c r="E406" s="137"/>
    </row>
    <row r="407" spans="2:5" ht="15">
      <c r="B407" s="138"/>
      <c r="C407" s="135"/>
      <c r="D407" s="128"/>
      <c r="E407" s="137"/>
    </row>
    <row r="408" spans="2:5" ht="15">
      <c r="B408" s="138"/>
      <c r="C408" s="135"/>
      <c r="D408" s="128"/>
      <c r="E408" s="137"/>
    </row>
    <row r="409" spans="2:5" ht="15">
      <c r="B409" s="138"/>
      <c r="C409" s="135"/>
      <c r="D409" s="128"/>
      <c r="E409" s="137"/>
    </row>
    <row r="410" spans="2:5" ht="15">
      <c r="B410" s="138"/>
      <c r="C410" s="135"/>
      <c r="D410" s="128"/>
      <c r="E410" s="137"/>
    </row>
    <row r="411" spans="2:5" ht="15">
      <c r="B411" s="138"/>
      <c r="C411" s="135"/>
      <c r="D411" s="128"/>
      <c r="E411" s="137"/>
    </row>
    <row r="412" spans="2:5" ht="15">
      <c r="B412" s="138"/>
      <c r="C412" s="135"/>
      <c r="D412" s="128"/>
      <c r="E412" s="137"/>
    </row>
    <row r="413" spans="2:5" ht="15">
      <c r="B413" s="138"/>
      <c r="C413" s="135"/>
      <c r="D413" s="128"/>
      <c r="E413" s="137"/>
    </row>
    <row r="414" spans="2:5" ht="15">
      <c r="B414" s="138"/>
      <c r="C414" s="135"/>
      <c r="D414" s="128"/>
      <c r="E414" s="137"/>
    </row>
    <row r="415" spans="2:5" ht="15">
      <c r="B415" s="138"/>
      <c r="C415" s="135"/>
      <c r="D415" s="128"/>
      <c r="E415" s="137"/>
    </row>
    <row r="416" spans="2:5" ht="15">
      <c r="B416" s="138"/>
      <c r="C416" s="135"/>
      <c r="D416" s="128"/>
      <c r="E416" s="137"/>
    </row>
    <row r="417" spans="2:5" ht="15">
      <c r="B417" s="138"/>
      <c r="C417" s="135"/>
      <c r="D417" s="128"/>
      <c r="E417" s="137"/>
    </row>
    <row r="418" spans="2:5" ht="15">
      <c r="B418" s="138"/>
      <c r="C418" s="135"/>
      <c r="D418" s="128"/>
      <c r="E418" s="137"/>
    </row>
    <row r="419" spans="2:5" ht="15">
      <c r="B419" s="138"/>
      <c r="C419" s="135"/>
      <c r="D419" s="128"/>
      <c r="E419" s="137"/>
    </row>
    <row r="420" spans="2:5" ht="15">
      <c r="B420" s="138"/>
      <c r="C420" s="135"/>
      <c r="D420" s="128"/>
      <c r="E420" s="137"/>
    </row>
    <row r="421" spans="2:5" ht="15">
      <c r="B421" s="138"/>
      <c r="C421" s="135"/>
      <c r="D421" s="128"/>
      <c r="E421" s="137"/>
    </row>
    <row r="422" spans="2:5" ht="15">
      <c r="B422" s="138"/>
      <c r="C422" s="135"/>
      <c r="D422" s="128"/>
      <c r="E422" s="137"/>
    </row>
    <row r="423" spans="2:5" ht="15">
      <c r="B423" s="138"/>
      <c r="C423" s="135"/>
      <c r="D423" s="128"/>
      <c r="E423" s="137"/>
    </row>
    <row r="424" spans="2:5" ht="15">
      <c r="B424" s="138"/>
      <c r="C424" s="135"/>
      <c r="D424" s="128"/>
      <c r="E424" s="137"/>
    </row>
    <row r="425" spans="2:5" ht="15">
      <c r="B425" s="138"/>
      <c r="C425" s="135"/>
      <c r="D425" s="128"/>
      <c r="E425" s="137"/>
    </row>
    <row r="426" spans="2:5" ht="15">
      <c r="B426" s="138"/>
      <c r="C426" s="135"/>
      <c r="D426" s="128"/>
      <c r="E426" s="137"/>
    </row>
    <row r="427" spans="2:5" ht="15">
      <c r="B427" s="138"/>
      <c r="C427" s="135"/>
      <c r="D427" s="128"/>
      <c r="E427" s="137"/>
    </row>
    <row r="428" spans="2:5" ht="15">
      <c r="B428" s="138"/>
      <c r="C428" s="135"/>
      <c r="D428" s="128"/>
      <c r="E428" s="137"/>
    </row>
    <row r="429" spans="2:5" ht="15">
      <c r="B429" s="138"/>
      <c r="C429" s="135"/>
      <c r="D429" s="128"/>
      <c r="E429" s="137"/>
    </row>
    <row r="430" spans="2:5" ht="15">
      <c r="B430" s="138"/>
      <c r="C430" s="135"/>
      <c r="D430" s="128"/>
      <c r="E430" s="137"/>
    </row>
    <row r="431" spans="2:5" ht="15">
      <c r="B431" s="138"/>
      <c r="C431" s="135"/>
      <c r="D431" s="128"/>
      <c r="E431" s="137"/>
    </row>
    <row r="432" spans="2:5" ht="15">
      <c r="B432" s="138"/>
      <c r="C432" s="135"/>
      <c r="D432" s="128"/>
      <c r="E432" s="137"/>
    </row>
    <row r="433" spans="2:5" ht="15">
      <c r="B433" s="138"/>
      <c r="C433" s="135"/>
      <c r="D433" s="128"/>
      <c r="E433" s="137"/>
    </row>
    <row r="434" spans="2:5" ht="15">
      <c r="B434" s="138"/>
      <c r="C434" s="135"/>
      <c r="D434" s="128"/>
      <c r="E434" s="137"/>
    </row>
    <row r="435" spans="2:5" ht="15">
      <c r="B435" s="138"/>
      <c r="C435" s="135"/>
      <c r="D435" s="128"/>
      <c r="E435" s="137"/>
    </row>
    <row r="436" spans="2:5" ht="15">
      <c r="B436" s="138"/>
      <c r="C436" s="135"/>
      <c r="D436" s="128"/>
      <c r="E436" s="137"/>
    </row>
    <row r="437" spans="2:5" ht="15">
      <c r="B437" s="138"/>
      <c r="C437" s="135"/>
      <c r="D437" s="128"/>
      <c r="E437" s="137"/>
    </row>
    <row r="438" spans="2:5" ht="15">
      <c r="B438" s="138"/>
      <c r="C438" s="135"/>
      <c r="D438" s="128"/>
      <c r="E438" s="137"/>
    </row>
    <row r="439" spans="2:5" ht="15">
      <c r="B439" s="138"/>
      <c r="C439" s="135"/>
      <c r="D439" s="128"/>
      <c r="E439" s="137"/>
    </row>
    <row r="440" spans="2:5" ht="15">
      <c r="B440" s="138"/>
      <c r="C440" s="135"/>
      <c r="D440" s="128"/>
      <c r="E440" s="137"/>
    </row>
    <row r="441" spans="2:5" ht="15">
      <c r="B441" s="138"/>
      <c r="C441" s="135"/>
      <c r="D441" s="128"/>
      <c r="E441" s="137"/>
    </row>
    <row r="442" spans="2:5" ht="15">
      <c r="B442" s="138"/>
      <c r="C442" s="135"/>
      <c r="D442" s="128"/>
      <c r="E442" s="137"/>
    </row>
    <row r="443" spans="2:5" ht="15">
      <c r="B443" s="138"/>
      <c r="C443" s="135"/>
      <c r="D443" s="128"/>
      <c r="E443" s="137"/>
    </row>
    <row r="444" spans="2:5" ht="15">
      <c r="B444" s="138"/>
      <c r="C444" s="135"/>
      <c r="D444" s="128"/>
      <c r="E444" s="137"/>
    </row>
    <row r="445" spans="2:5" ht="15">
      <c r="B445" s="138"/>
      <c r="C445" s="135"/>
      <c r="D445" s="128"/>
      <c r="E445" s="137"/>
    </row>
    <row r="446" spans="2:5" ht="15">
      <c r="B446" s="138"/>
      <c r="C446" s="135"/>
      <c r="D446" s="128"/>
      <c r="E446" s="137"/>
    </row>
    <row r="447" spans="2:5" ht="15">
      <c r="B447" s="138"/>
      <c r="C447" s="135"/>
      <c r="D447" s="128"/>
      <c r="E447" s="137"/>
    </row>
    <row r="448" spans="2:5" ht="15">
      <c r="B448" s="138"/>
      <c r="C448" s="135"/>
      <c r="D448" s="128"/>
      <c r="E448" s="137"/>
    </row>
    <row r="449" spans="2:5" ht="15">
      <c r="B449" s="138"/>
      <c r="C449" s="135"/>
      <c r="D449" s="128"/>
      <c r="E449" s="137"/>
    </row>
    <row r="450" spans="2:5" ht="15">
      <c r="B450" s="138"/>
      <c r="C450" s="135"/>
      <c r="D450" s="128"/>
      <c r="E450" s="137"/>
    </row>
    <row r="451" spans="2:5" ht="15">
      <c r="B451" s="138"/>
      <c r="C451" s="135"/>
      <c r="D451" s="128"/>
      <c r="E451" s="137"/>
    </row>
    <row r="452" spans="2:5" ht="15">
      <c r="B452" s="138"/>
      <c r="C452" s="135"/>
      <c r="D452" s="128"/>
      <c r="E452" s="137"/>
    </row>
    <row r="453" spans="2:5" ht="15">
      <c r="B453" s="138"/>
      <c r="C453" s="135"/>
      <c r="D453" s="128"/>
      <c r="E453" s="137"/>
    </row>
    <row r="454" spans="2:5" ht="15">
      <c r="B454" s="138"/>
      <c r="C454" s="135"/>
      <c r="D454" s="128"/>
      <c r="E454" s="137"/>
    </row>
    <row r="455" spans="2:5" ht="15">
      <c r="B455" s="138"/>
      <c r="C455" s="135"/>
      <c r="D455" s="128"/>
      <c r="E455" s="137"/>
    </row>
    <row r="456" spans="2:5" ht="15">
      <c r="B456" s="138"/>
      <c r="C456" s="135"/>
      <c r="D456" s="128"/>
      <c r="E456" s="137"/>
    </row>
    <row r="457" spans="2:5" ht="15">
      <c r="B457" s="138"/>
      <c r="C457" s="135"/>
      <c r="D457" s="128"/>
      <c r="E457" s="137"/>
    </row>
    <row r="458" spans="2:5" ht="15">
      <c r="B458" s="138"/>
      <c r="C458" s="135"/>
      <c r="D458" s="128"/>
      <c r="E458" s="137"/>
    </row>
    <row r="459" spans="2:5" ht="15">
      <c r="B459" s="138"/>
      <c r="C459" s="135"/>
      <c r="D459" s="128"/>
      <c r="E459" s="137"/>
    </row>
    <row r="460" spans="2:5" ht="15">
      <c r="B460" s="138"/>
      <c r="C460" s="135"/>
      <c r="D460" s="128"/>
      <c r="E460" s="137"/>
    </row>
    <row r="461" spans="2:5" ht="15">
      <c r="B461" s="138"/>
      <c r="C461" s="135"/>
      <c r="D461" s="128"/>
      <c r="E461" s="137"/>
    </row>
    <row r="462" spans="2:5" ht="15">
      <c r="B462" s="138"/>
      <c r="C462" s="135"/>
      <c r="D462" s="128"/>
      <c r="E462" s="137"/>
    </row>
    <row r="463" spans="2:5" ht="15">
      <c r="B463" s="138"/>
      <c r="C463" s="135"/>
      <c r="D463" s="128"/>
      <c r="E463" s="137"/>
    </row>
    <row r="464" spans="2:5" ht="15">
      <c r="B464" s="138"/>
      <c r="C464" s="135"/>
      <c r="D464" s="128"/>
      <c r="E464" s="137"/>
    </row>
    <row r="465" spans="2:5" ht="15">
      <c r="B465" s="138"/>
      <c r="C465" s="135"/>
      <c r="D465" s="128"/>
      <c r="E465" s="137"/>
    </row>
    <row r="466" spans="2:5" ht="15">
      <c r="B466" s="138"/>
      <c r="C466" s="135"/>
      <c r="D466" s="128"/>
      <c r="E466" s="137"/>
    </row>
    <row r="467" spans="2:5" ht="15">
      <c r="B467" s="138"/>
      <c r="C467" s="135"/>
      <c r="D467" s="128"/>
      <c r="E467" s="137"/>
    </row>
    <row r="468" spans="2:5" ht="15">
      <c r="B468" s="138"/>
      <c r="C468" s="135"/>
      <c r="D468" s="128"/>
      <c r="E468" s="137"/>
    </row>
    <row r="469" spans="2:5" ht="15">
      <c r="B469" s="138"/>
      <c r="C469" s="135"/>
      <c r="D469" s="128"/>
      <c r="E469" s="137"/>
    </row>
    <row r="470" spans="2:5" ht="15">
      <c r="B470" s="138"/>
      <c r="C470" s="135"/>
      <c r="D470" s="128"/>
      <c r="E470" s="137"/>
    </row>
    <row r="471" spans="2:5" ht="15">
      <c r="B471" s="138"/>
      <c r="C471" s="135"/>
      <c r="D471" s="128"/>
      <c r="E471" s="137"/>
    </row>
    <row r="472" spans="2:5" ht="15">
      <c r="B472" s="138"/>
      <c r="C472" s="135"/>
      <c r="D472" s="128"/>
      <c r="E472" s="137"/>
    </row>
    <row r="473" spans="2:5" ht="15">
      <c r="B473" s="138"/>
      <c r="C473" s="135"/>
      <c r="D473" s="128"/>
      <c r="E473" s="137"/>
    </row>
    <row r="474" spans="2:5" ht="15">
      <c r="B474" s="138"/>
      <c r="C474" s="135"/>
      <c r="D474" s="128"/>
      <c r="E474" s="137"/>
    </row>
    <row r="475" spans="2:5" ht="15">
      <c r="B475" s="138"/>
      <c r="C475" s="135"/>
      <c r="D475" s="128"/>
      <c r="E475" s="137"/>
    </row>
    <row r="476" spans="2:5" ht="15">
      <c r="B476" s="138"/>
      <c r="C476" s="135"/>
      <c r="D476" s="128"/>
      <c r="E476" s="137"/>
    </row>
    <row r="477" spans="2:5" ht="15">
      <c r="B477" s="138"/>
      <c r="C477" s="135"/>
      <c r="D477" s="128"/>
      <c r="E477" s="137"/>
    </row>
    <row r="478" spans="2:5" ht="15">
      <c r="B478" s="138"/>
      <c r="C478" s="135"/>
      <c r="D478" s="128"/>
      <c r="E478" s="137"/>
    </row>
    <row r="479" spans="2:5" ht="15">
      <c r="B479" s="138"/>
      <c r="C479" s="135"/>
      <c r="D479" s="128"/>
      <c r="E479" s="137"/>
    </row>
    <row r="480" spans="2:5" ht="15">
      <c r="B480" s="138"/>
      <c r="C480" s="135"/>
      <c r="D480" s="128"/>
      <c r="E480" s="137"/>
    </row>
    <row r="481" spans="2:5" ht="15">
      <c r="B481" s="138"/>
      <c r="C481" s="135"/>
      <c r="D481" s="128"/>
      <c r="E481" s="137"/>
    </row>
    <row r="482" spans="2:5" ht="15">
      <c r="B482" s="138"/>
      <c r="C482" s="135"/>
      <c r="D482" s="128"/>
      <c r="E482" s="137"/>
    </row>
    <row r="483" spans="2:5" ht="15">
      <c r="B483" s="138"/>
      <c r="C483" s="135"/>
      <c r="D483" s="128"/>
      <c r="E483" s="137"/>
    </row>
    <row r="484" spans="2:5" ht="15">
      <c r="B484" s="138"/>
      <c r="C484" s="135"/>
      <c r="D484" s="128"/>
      <c r="E484" s="137"/>
    </row>
    <row r="485" spans="2:5" ht="15">
      <c r="B485" s="138"/>
      <c r="C485" s="135"/>
      <c r="D485" s="128"/>
      <c r="E485" s="137"/>
    </row>
    <row r="486" spans="2:5" ht="15">
      <c r="B486" s="138"/>
      <c r="C486" s="135"/>
      <c r="D486" s="128"/>
      <c r="E486" s="137"/>
    </row>
    <row r="487" spans="2:5" ht="15">
      <c r="B487" s="138"/>
      <c r="C487" s="135"/>
      <c r="D487" s="128"/>
      <c r="E487" s="137"/>
    </row>
    <row r="488" spans="2:5" ht="15">
      <c r="B488" s="138"/>
      <c r="C488" s="135"/>
      <c r="D488" s="128"/>
      <c r="E488" s="137"/>
    </row>
    <row r="489" spans="2:5" ht="15">
      <c r="B489" s="138"/>
      <c r="C489" s="135"/>
      <c r="D489" s="128"/>
      <c r="E489" s="137"/>
    </row>
    <row r="490" spans="2:5" ht="15">
      <c r="B490" s="138"/>
      <c r="C490" s="135"/>
      <c r="D490" s="128"/>
      <c r="E490" s="137"/>
    </row>
    <row r="491" spans="2:5" ht="15">
      <c r="B491" s="138"/>
      <c r="C491" s="135"/>
      <c r="D491" s="128"/>
      <c r="E491" s="137"/>
    </row>
    <row r="492" spans="2:5" ht="15">
      <c r="B492" s="138"/>
      <c r="C492" s="135"/>
      <c r="D492" s="128"/>
      <c r="E492" s="137"/>
    </row>
    <row r="493" spans="2:5" ht="15">
      <c r="B493" s="138"/>
      <c r="C493" s="135"/>
      <c r="D493" s="128"/>
      <c r="E493" s="137"/>
    </row>
    <row r="494" spans="2:5" ht="15">
      <c r="B494" s="138"/>
      <c r="C494" s="135"/>
      <c r="D494" s="128"/>
      <c r="E494" s="137"/>
    </row>
    <row r="495" spans="2:5" ht="15">
      <c r="B495" s="138"/>
      <c r="C495" s="135"/>
      <c r="D495" s="128"/>
      <c r="E495" s="137"/>
    </row>
    <row r="496" spans="2:5" ht="15">
      <c r="B496" s="138"/>
      <c r="C496" s="135"/>
      <c r="D496" s="128"/>
      <c r="E496" s="137"/>
    </row>
    <row r="497" spans="2:5" ht="15">
      <c r="B497" s="138"/>
      <c r="C497" s="135"/>
      <c r="D497" s="128"/>
      <c r="E497" s="137"/>
    </row>
    <row r="498" spans="2:5" ht="15">
      <c r="B498" s="138"/>
      <c r="C498" s="135"/>
      <c r="D498" s="128"/>
      <c r="E498" s="137"/>
    </row>
    <row r="499" spans="2:5" ht="15">
      <c r="B499" s="138"/>
      <c r="C499" s="135"/>
      <c r="D499" s="128"/>
      <c r="E499" s="137"/>
    </row>
    <row r="500" spans="2:5" ht="15">
      <c r="B500" s="138"/>
      <c r="C500" s="135"/>
      <c r="D500" s="128"/>
      <c r="E500" s="137"/>
    </row>
    <row r="501" spans="2:5" ht="15">
      <c r="B501" s="138"/>
      <c r="C501" s="135"/>
      <c r="D501" s="128"/>
      <c r="E501" s="137"/>
    </row>
    <row r="502" spans="2:5" ht="15">
      <c r="B502" s="138"/>
      <c r="C502" s="135"/>
      <c r="D502" s="128"/>
      <c r="E502" s="137"/>
    </row>
    <row r="503" spans="2:5" ht="15">
      <c r="B503" s="138"/>
      <c r="C503" s="135"/>
      <c r="D503" s="128"/>
      <c r="E503" s="137"/>
    </row>
    <row r="504" spans="2:5" ht="15">
      <c r="B504" s="138"/>
      <c r="C504" s="135"/>
      <c r="D504" s="128"/>
      <c r="E504" s="137"/>
    </row>
    <row r="505" spans="2:5" ht="15">
      <c r="B505" s="138"/>
      <c r="C505" s="135"/>
      <c r="D505" s="128"/>
      <c r="E505" s="137"/>
    </row>
    <row r="506" spans="2:5" ht="15">
      <c r="B506" s="138"/>
      <c r="C506" s="135"/>
      <c r="D506" s="128"/>
      <c r="E506" s="137"/>
    </row>
    <row r="507" spans="2:5" ht="15">
      <c r="B507" s="138"/>
      <c r="C507" s="135"/>
      <c r="D507" s="128"/>
      <c r="E507" s="137"/>
    </row>
    <row r="508" spans="2:5" ht="15">
      <c r="B508" s="138"/>
      <c r="C508" s="135"/>
      <c r="D508" s="128"/>
      <c r="E508" s="137"/>
    </row>
    <row r="509" spans="2:5" ht="15">
      <c r="B509" s="138"/>
      <c r="C509" s="135"/>
      <c r="D509" s="128"/>
      <c r="E509" s="137"/>
    </row>
    <row r="510" spans="2:5" ht="15">
      <c r="B510" s="138"/>
      <c r="C510" s="135"/>
      <c r="D510" s="128"/>
      <c r="E510" s="137"/>
    </row>
    <row r="511" spans="2:5" ht="15">
      <c r="B511" s="138"/>
      <c r="C511" s="135"/>
      <c r="D511" s="128"/>
      <c r="E511" s="137"/>
    </row>
    <row r="512" spans="2:5" ht="15">
      <c r="B512" s="138"/>
      <c r="C512" s="135"/>
      <c r="D512" s="128"/>
      <c r="E512" s="137"/>
    </row>
    <row r="513" spans="2:5" ht="15">
      <c r="B513" s="138"/>
      <c r="C513" s="135"/>
      <c r="D513" s="128"/>
      <c r="E513" s="137"/>
    </row>
    <row r="514" spans="2:5" ht="15">
      <c r="B514" s="138"/>
      <c r="C514" s="135"/>
      <c r="D514" s="128"/>
      <c r="E514" s="137"/>
    </row>
    <row r="515" spans="2:5" ht="15">
      <c r="B515" s="138"/>
      <c r="C515" s="135"/>
      <c r="D515" s="128"/>
      <c r="E515" s="137"/>
    </row>
    <row r="516" spans="2:5" ht="15">
      <c r="B516" s="138"/>
      <c r="C516" s="135"/>
      <c r="D516" s="128"/>
      <c r="E516" s="137"/>
    </row>
    <row r="517" spans="2:5" ht="15">
      <c r="B517" s="138"/>
      <c r="C517" s="135"/>
      <c r="D517" s="128"/>
      <c r="E517" s="137"/>
    </row>
    <row r="518" spans="2:5" ht="15">
      <c r="B518" s="138"/>
      <c r="C518" s="135"/>
      <c r="D518" s="128"/>
      <c r="E518" s="137"/>
    </row>
    <row r="519" spans="2:5" ht="15">
      <c r="B519" s="138"/>
      <c r="C519" s="135"/>
      <c r="D519" s="128"/>
      <c r="E519" s="137"/>
    </row>
    <row r="520" spans="2:5" ht="15">
      <c r="B520" s="138"/>
      <c r="C520" s="135"/>
      <c r="D520" s="128"/>
      <c r="E520" s="137"/>
    </row>
    <row r="521" spans="2:5" ht="15">
      <c r="B521" s="138"/>
      <c r="C521" s="135"/>
      <c r="D521" s="128"/>
      <c r="E521" s="137"/>
    </row>
    <row r="522" spans="2:5" ht="15">
      <c r="B522" s="138"/>
      <c r="C522" s="135"/>
      <c r="D522" s="128"/>
      <c r="E522" s="137"/>
    </row>
    <row r="523" spans="2:5" ht="15">
      <c r="B523" s="138"/>
      <c r="C523" s="135"/>
      <c r="D523" s="128"/>
      <c r="E523" s="137"/>
    </row>
    <row r="524" spans="2:5" ht="15">
      <c r="B524" s="138"/>
      <c r="C524" s="135"/>
      <c r="D524" s="128"/>
      <c r="E524" s="137"/>
    </row>
    <row r="525" spans="2:5" ht="15">
      <c r="B525" s="138"/>
      <c r="C525" s="135"/>
      <c r="D525" s="128"/>
      <c r="E525" s="137"/>
    </row>
    <row r="526" spans="2:5" ht="15">
      <c r="B526" s="138"/>
      <c r="C526" s="135"/>
      <c r="D526" s="128"/>
      <c r="E526" s="137"/>
    </row>
    <row r="527" spans="2:5" ht="15">
      <c r="B527" s="138"/>
      <c r="C527" s="135"/>
      <c r="D527" s="128"/>
      <c r="E527" s="137"/>
    </row>
    <row r="528" spans="2:5" ht="15">
      <c r="B528" s="138"/>
      <c r="C528" s="135"/>
      <c r="D528" s="128"/>
      <c r="E528" s="137"/>
    </row>
    <row r="529" spans="2:5" ht="15">
      <c r="B529" s="138"/>
      <c r="C529" s="135"/>
      <c r="D529" s="128"/>
      <c r="E529" s="137"/>
    </row>
    <row r="530" spans="2:5" ht="15">
      <c r="B530" s="138"/>
      <c r="C530" s="135"/>
      <c r="D530" s="128"/>
      <c r="E530" s="137"/>
    </row>
    <row r="531" spans="2:5" ht="15">
      <c r="B531" s="138"/>
      <c r="C531" s="135"/>
      <c r="D531" s="128"/>
      <c r="E531" s="137"/>
    </row>
    <row r="532" spans="2:5" ht="15">
      <c r="B532" s="138"/>
      <c r="C532" s="135"/>
      <c r="D532" s="128"/>
      <c r="E532" s="137"/>
    </row>
    <row r="533" spans="2:5" ht="15">
      <c r="B533" s="138"/>
      <c r="C533" s="135"/>
      <c r="D533" s="128"/>
      <c r="E533" s="137"/>
    </row>
    <row r="534" spans="2:5" ht="15">
      <c r="B534" s="138"/>
      <c r="C534" s="135"/>
      <c r="D534" s="128"/>
      <c r="E534" s="137"/>
    </row>
    <row r="535" spans="2:5" ht="15">
      <c r="B535" s="138"/>
      <c r="C535" s="135"/>
      <c r="D535" s="128"/>
      <c r="E535" s="137"/>
    </row>
    <row r="536" spans="2:5" ht="15">
      <c r="B536" s="138"/>
      <c r="C536" s="135"/>
      <c r="D536" s="128"/>
      <c r="E536" s="137"/>
    </row>
    <row r="537" spans="2:5" ht="15">
      <c r="B537" s="138"/>
      <c r="C537" s="135"/>
      <c r="D537" s="128"/>
      <c r="E537" s="137"/>
    </row>
    <row r="538" spans="2:5" ht="15">
      <c r="B538" s="138"/>
      <c r="C538" s="135"/>
      <c r="D538" s="128"/>
      <c r="E538" s="137"/>
    </row>
    <row r="539" spans="2:5" ht="15">
      <c r="B539" s="138"/>
      <c r="C539" s="135"/>
      <c r="D539" s="128"/>
      <c r="E539" s="137"/>
    </row>
    <row r="540" spans="2:5" ht="15">
      <c r="B540" s="138"/>
      <c r="C540" s="135"/>
      <c r="D540" s="128"/>
      <c r="E540" s="137"/>
    </row>
    <row r="541" spans="2:5" ht="15">
      <c r="B541" s="138"/>
      <c r="C541" s="135"/>
      <c r="D541" s="128"/>
      <c r="E541" s="137"/>
    </row>
    <row r="542" spans="2:5" ht="15">
      <c r="B542" s="138"/>
      <c r="C542" s="135"/>
      <c r="D542" s="128"/>
      <c r="E542" s="137"/>
    </row>
    <row r="543" spans="2:5" ht="15">
      <c r="B543" s="138"/>
      <c r="C543" s="135"/>
      <c r="D543" s="128"/>
      <c r="E543" s="137"/>
    </row>
    <row r="544" spans="2:5" ht="15">
      <c r="B544" s="138"/>
      <c r="C544" s="135"/>
      <c r="D544" s="128"/>
      <c r="E544" s="137"/>
    </row>
    <row r="545" spans="2:5" ht="15">
      <c r="B545" s="138"/>
      <c r="C545" s="135"/>
      <c r="D545" s="128"/>
      <c r="E545" s="137"/>
    </row>
    <row r="546" spans="2:5" ht="15">
      <c r="B546" s="138"/>
      <c r="C546" s="135"/>
      <c r="D546" s="128"/>
      <c r="E546" s="137"/>
    </row>
    <row r="547" spans="2:5" ht="15">
      <c r="B547" s="138"/>
      <c r="C547" s="135"/>
      <c r="D547" s="128"/>
      <c r="E547" s="137"/>
    </row>
    <row r="548" spans="2:5" ht="15">
      <c r="B548" s="138"/>
      <c r="C548" s="135"/>
      <c r="D548" s="128"/>
      <c r="E548" s="137"/>
    </row>
    <row r="549" spans="2:5" ht="15">
      <c r="B549" s="138"/>
      <c r="C549" s="135"/>
      <c r="D549" s="128"/>
      <c r="E549" s="137"/>
    </row>
    <row r="550" spans="2:5" ht="15">
      <c r="B550" s="138"/>
      <c r="C550" s="135"/>
      <c r="D550" s="128"/>
      <c r="E550" s="137"/>
    </row>
    <row r="551" spans="2:5" ht="15">
      <c r="B551" s="138"/>
      <c r="C551" s="135"/>
      <c r="D551" s="128"/>
      <c r="E551" s="137"/>
    </row>
    <row r="552" spans="2:5" ht="15">
      <c r="B552" s="138"/>
      <c r="C552" s="135"/>
      <c r="D552" s="128"/>
      <c r="E552" s="137"/>
    </row>
    <row r="553" spans="2:5" ht="15">
      <c r="B553" s="138"/>
      <c r="C553" s="135"/>
      <c r="D553" s="128"/>
      <c r="E553" s="137"/>
    </row>
    <row r="554" spans="2:5" ht="15">
      <c r="B554" s="138"/>
      <c r="C554" s="135"/>
      <c r="D554" s="128"/>
      <c r="E554" s="137"/>
    </row>
    <row r="555" spans="2:5" ht="15">
      <c r="B555" s="138"/>
      <c r="C555" s="135"/>
      <c r="D555" s="128"/>
      <c r="E555" s="137"/>
    </row>
    <row r="556" spans="2:5" ht="15">
      <c r="B556" s="138"/>
      <c r="C556" s="135"/>
      <c r="D556" s="128"/>
      <c r="E556" s="137"/>
    </row>
    <row r="557" spans="2:5" ht="15">
      <c r="B557" s="138"/>
      <c r="C557" s="135"/>
      <c r="D557" s="128"/>
      <c r="E557" s="137"/>
    </row>
    <row r="558" spans="2:5" ht="15">
      <c r="B558" s="138"/>
      <c r="C558" s="135"/>
      <c r="D558" s="128"/>
      <c r="E558" s="137"/>
    </row>
    <row r="559" spans="2:5" ht="15">
      <c r="B559" s="138"/>
      <c r="C559" s="135"/>
      <c r="D559" s="128"/>
      <c r="E559" s="137"/>
    </row>
    <row r="560" spans="2:5" ht="15">
      <c r="B560" s="138"/>
      <c r="C560" s="135"/>
      <c r="D560" s="128"/>
      <c r="E560" s="137"/>
    </row>
    <row r="561" spans="2:5" ht="15">
      <c r="B561" s="138"/>
      <c r="C561" s="135"/>
      <c r="D561" s="128"/>
      <c r="E561" s="137"/>
    </row>
    <row r="562" spans="2:5" ht="15">
      <c r="B562" s="138"/>
      <c r="C562" s="135"/>
      <c r="D562" s="128"/>
      <c r="E562" s="137"/>
    </row>
    <row r="563" spans="2:5" ht="15">
      <c r="B563" s="138"/>
      <c r="C563" s="135"/>
      <c r="D563" s="128"/>
      <c r="E563" s="137"/>
    </row>
    <row r="564" spans="2:5" ht="15">
      <c r="B564" s="138"/>
      <c r="C564" s="135"/>
      <c r="D564" s="128"/>
      <c r="E564" s="137"/>
    </row>
    <row r="565" spans="2:5" ht="15">
      <c r="B565" s="138"/>
      <c r="C565" s="135"/>
      <c r="D565" s="128"/>
      <c r="E565" s="137"/>
    </row>
    <row r="566" spans="2:5" ht="15">
      <c r="B566" s="138"/>
      <c r="C566" s="135"/>
      <c r="D566" s="128"/>
      <c r="E566" s="137"/>
    </row>
    <row r="567" spans="2:5" ht="15">
      <c r="B567" s="138"/>
      <c r="C567" s="135"/>
      <c r="D567" s="128"/>
      <c r="E567" s="137"/>
    </row>
    <row r="568" spans="2:5" ht="15">
      <c r="B568" s="138"/>
      <c r="C568" s="135"/>
      <c r="D568" s="128"/>
      <c r="E568" s="137"/>
    </row>
    <row r="569" spans="2:5" ht="15">
      <c r="B569" s="138"/>
      <c r="C569" s="135"/>
      <c r="D569" s="128"/>
      <c r="E569" s="137"/>
    </row>
    <row r="570" spans="2:5" ht="15">
      <c r="B570" s="138"/>
      <c r="C570" s="135"/>
      <c r="D570" s="128"/>
      <c r="E570" s="137"/>
    </row>
    <row r="571" spans="2:5" ht="15">
      <c r="B571" s="138"/>
      <c r="C571" s="135"/>
      <c r="D571" s="128"/>
      <c r="E571" s="137"/>
    </row>
    <row r="572" spans="2:5" ht="15">
      <c r="B572" s="138"/>
      <c r="C572" s="135"/>
      <c r="D572" s="128"/>
      <c r="E572" s="137"/>
    </row>
    <row r="573" spans="2:5" ht="15">
      <c r="B573" s="138"/>
      <c r="C573" s="135"/>
      <c r="D573" s="128"/>
      <c r="E573" s="137"/>
    </row>
    <row r="574" spans="2:5" ht="15">
      <c r="B574" s="138"/>
      <c r="C574" s="135"/>
      <c r="D574" s="128"/>
      <c r="E574" s="137"/>
    </row>
    <row r="575" spans="2:5" ht="15">
      <c r="B575" s="138"/>
      <c r="C575" s="135"/>
      <c r="D575" s="128"/>
      <c r="E575" s="137"/>
    </row>
    <row r="576" spans="2:5" ht="15">
      <c r="B576" s="138"/>
      <c r="C576" s="135"/>
      <c r="D576" s="128"/>
      <c r="E576" s="137"/>
    </row>
    <row r="577" spans="2:5" ht="15">
      <c r="B577" s="138"/>
      <c r="C577" s="135"/>
      <c r="D577" s="128"/>
      <c r="E577" s="137"/>
    </row>
    <row r="578" spans="2:5" ht="15">
      <c r="B578" s="138"/>
      <c r="C578" s="135"/>
      <c r="D578" s="128"/>
      <c r="E578" s="137"/>
    </row>
    <row r="579" spans="2:5" ht="15">
      <c r="B579" s="138"/>
      <c r="C579" s="135"/>
      <c r="D579" s="128"/>
      <c r="E579" s="137"/>
    </row>
    <row r="580" spans="2:5" ht="15">
      <c r="B580" s="138"/>
      <c r="C580" s="135"/>
      <c r="D580" s="128"/>
      <c r="E580" s="137"/>
    </row>
    <row r="581" spans="2:5" ht="15">
      <c r="B581" s="138"/>
      <c r="C581" s="135"/>
      <c r="D581" s="128"/>
      <c r="E581" s="137"/>
    </row>
    <row r="582" spans="2:5" ht="15">
      <c r="B582" s="138"/>
      <c r="C582" s="135"/>
      <c r="D582" s="128"/>
      <c r="E582" s="137"/>
    </row>
    <row r="583" spans="2:5" ht="15">
      <c r="B583" s="138"/>
      <c r="C583" s="135"/>
      <c r="D583" s="128"/>
      <c r="E583" s="137"/>
    </row>
    <row r="584" spans="2:5" ht="15">
      <c r="B584" s="138"/>
      <c r="C584" s="135"/>
      <c r="D584" s="128"/>
      <c r="E584" s="137"/>
    </row>
    <row r="585" spans="2:5" ht="15">
      <c r="B585" s="138"/>
      <c r="C585" s="135"/>
      <c r="D585" s="128"/>
      <c r="E585" s="137"/>
    </row>
    <row r="586" spans="2:5" ht="15">
      <c r="B586" s="138"/>
      <c r="C586" s="135"/>
      <c r="D586" s="128"/>
      <c r="E586" s="137"/>
    </row>
    <row r="587" spans="2:5" ht="15">
      <c r="B587" s="138"/>
      <c r="C587" s="135"/>
      <c r="D587" s="128"/>
      <c r="E587" s="137"/>
    </row>
    <row r="588" spans="2:5" ht="15">
      <c r="B588" s="138"/>
      <c r="C588" s="135"/>
      <c r="D588" s="128"/>
      <c r="E588" s="137"/>
    </row>
    <row r="589" spans="2:5" ht="15">
      <c r="B589" s="138"/>
      <c r="C589" s="135"/>
      <c r="D589" s="128"/>
      <c r="E589" s="137"/>
    </row>
    <row r="590" spans="2:5" ht="15">
      <c r="B590" s="138"/>
      <c r="C590" s="135"/>
      <c r="D590" s="128"/>
      <c r="E590" s="137"/>
    </row>
    <row r="591" spans="2:5" ht="15">
      <c r="B591" s="138"/>
      <c r="C591" s="135"/>
      <c r="D591" s="128"/>
      <c r="E591" s="137"/>
    </row>
    <row r="592" spans="2:5" ht="15">
      <c r="B592" s="138"/>
      <c r="C592" s="135"/>
      <c r="D592" s="128"/>
      <c r="E592" s="137"/>
    </row>
    <row r="593" spans="2:5" ht="15">
      <c r="B593" s="138"/>
      <c r="C593" s="135"/>
      <c r="D593" s="128"/>
      <c r="E593" s="137"/>
    </row>
    <row r="594" spans="2:5" ht="15">
      <c r="B594" s="138"/>
      <c r="C594" s="135"/>
      <c r="D594" s="128"/>
      <c r="E594" s="137"/>
    </row>
    <row r="595" spans="2:5" ht="15">
      <c r="B595" s="138"/>
      <c r="C595" s="135"/>
      <c r="D595" s="128"/>
      <c r="E595" s="137"/>
    </row>
    <row r="596" spans="2:5" ht="15">
      <c r="B596" s="138"/>
      <c r="C596" s="135"/>
      <c r="D596" s="128"/>
      <c r="E596" s="137"/>
    </row>
    <row r="597" spans="2:5" ht="15">
      <c r="B597" s="138"/>
      <c r="C597" s="135"/>
      <c r="D597" s="128"/>
      <c r="E597" s="137"/>
    </row>
    <row r="598" spans="2:5" ht="15">
      <c r="B598" s="138"/>
      <c r="C598" s="135"/>
      <c r="D598" s="128"/>
      <c r="E598" s="137"/>
    </row>
    <row r="599" spans="2:5" ht="15">
      <c r="B599" s="138"/>
      <c r="C599" s="135"/>
      <c r="D599" s="128"/>
      <c r="E599" s="137"/>
    </row>
    <row r="600" spans="2:5" ht="15">
      <c r="B600" s="138"/>
      <c r="C600" s="135"/>
      <c r="D600" s="128"/>
      <c r="E600" s="137"/>
    </row>
    <row r="601" spans="2:5" ht="15">
      <c r="B601" s="138"/>
      <c r="C601" s="135"/>
      <c r="D601" s="128"/>
      <c r="E601" s="137"/>
    </row>
    <row r="602" spans="2:5" ht="15">
      <c r="B602" s="138"/>
      <c r="C602" s="135"/>
      <c r="D602" s="128"/>
      <c r="E602" s="137"/>
    </row>
    <row r="603" spans="2:5" ht="15">
      <c r="B603" s="138"/>
      <c r="C603" s="135"/>
      <c r="D603" s="128"/>
      <c r="E603" s="137"/>
    </row>
    <row r="604" spans="2:5" ht="15">
      <c r="B604" s="138"/>
      <c r="C604" s="135"/>
      <c r="D604" s="128"/>
      <c r="E604" s="137"/>
    </row>
    <row r="605" spans="2:5" ht="15">
      <c r="B605" s="138"/>
      <c r="C605" s="135"/>
      <c r="D605" s="128"/>
      <c r="E605" s="137"/>
    </row>
    <row r="606" spans="2:5" ht="15">
      <c r="B606" s="138"/>
      <c r="C606" s="135"/>
      <c r="D606" s="128"/>
      <c r="E606" s="137"/>
    </row>
    <row r="607" spans="2:5" ht="15">
      <c r="B607" s="138"/>
      <c r="C607" s="135"/>
      <c r="D607" s="128"/>
      <c r="E607" s="137"/>
    </row>
    <row r="608" spans="2:5" ht="15">
      <c r="B608" s="138"/>
      <c r="C608" s="135"/>
      <c r="D608" s="128"/>
      <c r="E608" s="137"/>
    </row>
    <row r="609" spans="2:5" ht="15">
      <c r="B609" s="138"/>
      <c r="C609" s="135"/>
      <c r="D609" s="128"/>
      <c r="E609" s="137"/>
    </row>
    <row r="610" spans="2:5" ht="15">
      <c r="B610" s="138"/>
      <c r="C610" s="135"/>
      <c r="D610" s="128"/>
      <c r="E610" s="137"/>
    </row>
    <row r="611" spans="2:5" ht="15">
      <c r="B611" s="138"/>
      <c r="C611" s="135"/>
      <c r="D611" s="128"/>
      <c r="E611" s="137"/>
    </row>
    <row r="612" spans="2:5" ht="15">
      <c r="B612" s="138"/>
      <c r="C612" s="135"/>
      <c r="D612" s="128"/>
      <c r="E612" s="137"/>
    </row>
    <row r="613" spans="2:5" ht="15">
      <c r="B613" s="138"/>
      <c r="C613" s="135"/>
      <c r="D613" s="128"/>
      <c r="E613" s="137"/>
    </row>
    <row r="614" spans="2:5" ht="15">
      <c r="B614" s="138"/>
      <c r="C614" s="135"/>
      <c r="D614" s="128"/>
      <c r="E614" s="137"/>
    </row>
    <row r="615" spans="2:5" ht="15">
      <c r="B615" s="138"/>
      <c r="C615" s="135"/>
      <c r="D615" s="128"/>
      <c r="E615" s="137"/>
    </row>
    <row r="616" spans="2:5" ht="15">
      <c r="B616" s="138"/>
      <c r="C616" s="135"/>
      <c r="D616" s="128"/>
      <c r="E616" s="137"/>
    </row>
    <row r="617" spans="2:5" ht="15">
      <c r="B617" s="138"/>
      <c r="C617" s="135"/>
      <c r="D617" s="128"/>
      <c r="E617" s="137"/>
    </row>
    <row r="618" spans="2:5" ht="15">
      <c r="B618" s="138"/>
      <c r="C618" s="135"/>
      <c r="D618" s="128"/>
      <c r="E618" s="137"/>
    </row>
    <row r="619" spans="2:5" ht="15">
      <c r="B619" s="138"/>
      <c r="C619" s="135"/>
      <c r="D619" s="128"/>
      <c r="E619" s="137"/>
    </row>
    <row r="620" spans="2:5" ht="15">
      <c r="B620" s="138"/>
      <c r="C620" s="135"/>
      <c r="D620" s="128"/>
      <c r="E620" s="137"/>
    </row>
    <row r="621" spans="2:5" ht="15">
      <c r="B621" s="138"/>
      <c r="C621" s="135"/>
      <c r="D621" s="128"/>
      <c r="E621" s="137"/>
    </row>
    <row r="622" spans="2:5" ht="15">
      <c r="B622" s="138"/>
      <c r="C622" s="135"/>
      <c r="D622" s="128"/>
      <c r="E622" s="137"/>
    </row>
    <row r="623" spans="2:5" ht="15">
      <c r="B623" s="138"/>
      <c r="C623" s="135"/>
      <c r="D623" s="128"/>
      <c r="E623" s="137"/>
    </row>
    <row r="624" spans="2:5" ht="15">
      <c r="B624" s="138"/>
      <c r="C624" s="135"/>
      <c r="D624" s="128"/>
      <c r="E624" s="137"/>
    </row>
    <row r="625" spans="2:5" ht="15">
      <c r="B625" s="138"/>
      <c r="C625" s="135"/>
      <c r="D625" s="128"/>
      <c r="E625" s="137"/>
    </row>
    <row r="626" spans="2:5" ht="15">
      <c r="B626" s="138"/>
      <c r="C626" s="135"/>
      <c r="D626" s="128"/>
      <c r="E626" s="137"/>
    </row>
    <row r="627" spans="2:5" ht="15">
      <c r="B627" s="138"/>
      <c r="C627" s="135"/>
      <c r="D627" s="128"/>
      <c r="E627" s="137"/>
    </row>
    <row r="628" spans="2:5" ht="15">
      <c r="B628" s="138"/>
      <c r="C628" s="135"/>
      <c r="D628" s="128"/>
      <c r="E628" s="137"/>
    </row>
    <row r="629" spans="2:5" ht="15">
      <c r="B629" s="138"/>
      <c r="C629" s="135"/>
      <c r="D629" s="128"/>
      <c r="E629" s="137"/>
    </row>
    <row r="630" spans="2:5" ht="15">
      <c r="B630" s="138"/>
      <c r="C630" s="135"/>
      <c r="D630" s="128"/>
      <c r="E630" s="137"/>
    </row>
    <row r="631" spans="2:5" ht="15">
      <c r="B631" s="138"/>
      <c r="C631" s="135"/>
      <c r="D631" s="128"/>
      <c r="E631" s="137"/>
    </row>
    <row r="632" spans="2:5" ht="15">
      <c r="B632" s="138"/>
      <c r="C632" s="135"/>
      <c r="D632" s="128"/>
      <c r="E632" s="137"/>
    </row>
    <row r="633" spans="2:5" ht="15">
      <c r="B633" s="138"/>
      <c r="C633" s="135"/>
      <c r="D633" s="128"/>
      <c r="E633" s="137"/>
    </row>
    <row r="634" spans="2:5" ht="15">
      <c r="B634" s="138"/>
      <c r="C634" s="135"/>
      <c r="D634" s="128"/>
      <c r="E634" s="137"/>
    </row>
    <row r="635" spans="2:5" ht="15">
      <c r="B635" s="138"/>
      <c r="C635" s="135"/>
      <c r="D635" s="128"/>
      <c r="E635" s="137"/>
    </row>
    <row r="636" spans="2:5" ht="15">
      <c r="B636" s="138"/>
      <c r="C636" s="135"/>
      <c r="D636" s="128"/>
      <c r="E636" s="137"/>
    </row>
    <row r="637" spans="2:5" ht="15">
      <c r="B637" s="138"/>
      <c r="C637" s="135"/>
      <c r="D637" s="128"/>
      <c r="E637" s="137"/>
    </row>
    <row r="638" spans="2:5" ht="15">
      <c r="B638" s="138"/>
      <c r="C638" s="135"/>
      <c r="D638" s="128"/>
      <c r="E638" s="137"/>
    </row>
    <row r="639" spans="2:5" ht="15">
      <c r="B639" s="138"/>
      <c r="C639" s="135"/>
      <c r="D639" s="128"/>
      <c r="E639" s="137"/>
    </row>
    <row r="640" spans="2:5" ht="15">
      <c r="B640" s="138"/>
      <c r="C640" s="135"/>
      <c r="D640" s="128"/>
      <c r="E640" s="137"/>
    </row>
    <row r="641" spans="2:5" ht="15">
      <c r="B641" s="138"/>
      <c r="C641" s="135"/>
      <c r="D641" s="128"/>
      <c r="E641" s="137"/>
    </row>
    <row r="642" spans="2:5" ht="15">
      <c r="B642" s="138"/>
      <c r="C642" s="135"/>
      <c r="D642" s="128"/>
      <c r="E642" s="137"/>
    </row>
    <row r="643" spans="2:5" ht="15">
      <c r="B643" s="138"/>
      <c r="C643" s="135"/>
      <c r="D643" s="128"/>
      <c r="E643" s="137"/>
    </row>
    <row r="644" spans="2:5" ht="15">
      <c r="B644" s="138"/>
      <c r="C644" s="135"/>
      <c r="D644" s="128"/>
      <c r="E644" s="137"/>
    </row>
    <row r="645" spans="2:5" ht="15">
      <c r="B645" s="138"/>
      <c r="C645" s="135"/>
      <c r="D645" s="128"/>
      <c r="E645" s="137"/>
    </row>
    <row r="646" spans="2:5" ht="15">
      <c r="B646" s="138"/>
      <c r="C646" s="135"/>
      <c r="D646" s="128"/>
      <c r="E646" s="137"/>
    </row>
    <row r="647" spans="2:5" ht="15">
      <c r="B647" s="138"/>
      <c r="C647" s="135"/>
      <c r="D647" s="128"/>
      <c r="E647" s="137"/>
    </row>
    <row r="648" spans="2:5" ht="15">
      <c r="B648" s="138"/>
      <c r="C648" s="135"/>
      <c r="D648" s="128"/>
      <c r="E648" s="137"/>
    </row>
    <row r="649" spans="2:5" ht="15">
      <c r="B649" s="138"/>
      <c r="C649" s="135"/>
      <c r="D649" s="128"/>
      <c r="E649" s="137"/>
    </row>
    <row r="650" spans="2:5" ht="15">
      <c r="B650" s="138"/>
      <c r="C650" s="135"/>
      <c r="D650" s="128"/>
      <c r="E650" s="137"/>
    </row>
    <row r="651" spans="2:5" ht="15">
      <c r="B651" s="138"/>
      <c r="C651" s="135"/>
      <c r="D651" s="128"/>
      <c r="E651" s="137"/>
    </row>
    <row r="652" spans="2:5" ht="15">
      <c r="B652" s="138"/>
      <c r="C652" s="135"/>
      <c r="D652" s="128"/>
      <c r="E652" s="137"/>
    </row>
    <row r="653" spans="2:5" ht="15">
      <c r="B653" s="138"/>
      <c r="C653" s="135"/>
      <c r="D653" s="128"/>
      <c r="E653" s="137"/>
    </row>
    <row r="654" spans="2:5" ht="15">
      <c r="B654" s="138"/>
      <c r="C654" s="135"/>
      <c r="D654" s="128"/>
      <c r="E654" s="137"/>
    </row>
    <row r="655" spans="2:5" ht="15">
      <c r="B655" s="138"/>
      <c r="C655" s="135"/>
      <c r="D655" s="128"/>
      <c r="E655" s="137"/>
    </row>
    <row r="656" spans="2:5" ht="15">
      <c r="B656" s="138"/>
      <c r="C656" s="135"/>
      <c r="D656" s="128"/>
      <c r="E656" s="137"/>
    </row>
    <row r="657" spans="2:5" ht="15">
      <c r="B657" s="138"/>
      <c r="C657" s="135"/>
      <c r="D657" s="128"/>
      <c r="E657" s="137"/>
    </row>
    <row r="658" spans="2:5" ht="15">
      <c r="B658" s="138"/>
      <c r="C658" s="135"/>
      <c r="D658" s="128"/>
      <c r="E658" s="137"/>
    </row>
    <row r="659" spans="2:5" ht="15">
      <c r="B659" s="138"/>
      <c r="C659" s="135"/>
      <c r="D659" s="128"/>
      <c r="E659" s="137"/>
    </row>
    <row r="660" spans="2:5" ht="15">
      <c r="B660" s="138"/>
      <c r="C660" s="135"/>
      <c r="D660" s="128"/>
      <c r="E660" s="137"/>
    </row>
    <row r="661" spans="2:5" ht="15">
      <c r="B661" s="138"/>
      <c r="C661" s="135"/>
      <c r="D661" s="128"/>
      <c r="E661" s="137"/>
    </row>
    <row r="662" spans="2:5" ht="15">
      <c r="B662" s="138"/>
      <c r="C662" s="135"/>
      <c r="D662" s="128"/>
      <c r="E662" s="137"/>
    </row>
    <row r="663" spans="2:5" ht="15">
      <c r="B663" s="138"/>
      <c r="C663" s="135"/>
      <c r="D663" s="128"/>
      <c r="E663" s="137"/>
    </row>
    <row r="664" spans="2:5" ht="15">
      <c r="B664" s="138"/>
      <c r="C664" s="135"/>
      <c r="D664" s="128"/>
      <c r="E664" s="137"/>
    </row>
    <row r="665" spans="2:5" ht="15">
      <c r="B665" s="138"/>
      <c r="C665" s="135"/>
      <c r="D665" s="128"/>
      <c r="E665" s="137"/>
    </row>
    <row r="666" spans="2:5" ht="15">
      <c r="B666" s="138"/>
      <c r="C666" s="135"/>
      <c r="D666" s="128"/>
      <c r="E666" s="137"/>
    </row>
    <row r="667" spans="2:5" ht="15">
      <c r="B667" s="138"/>
      <c r="C667" s="135"/>
      <c r="D667" s="128"/>
      <c r="E667" s="137"/>
    </row>
    <row r="668" spans="2:5" ht="15">
      <c r="B668" s="138"/>
      <c r="C668" s="135"/>
      <c r="D668" s="128"/>
      <c r="E668" s="137"/>
    </row>
    <row r="669" spans="2:5" ht="15">
      <c r="B669" s="138"/>
      <c r="C669" s="135"/>
      <c r="D669" s="128"/>
      <c r="E669" s="137"/>
    </row>
    <row r="670" spans="2:5" ht="15">
      <c r="B670" s="138"/>
      <c r="C670" s="135"/>
      <c r="D670" s="128"/>
      <c r="E670" s="137"/>
    </row>
    <row r="671" spans="2:5" ht="15">
      <c r="B671" s="138"/>
      <c r="C671" s="135"/>
      <c r="D671" s="128"/>
      <c r="E671" s="137"/>
    </row>
    <row r="672" spans="2:5" ht="15">
      <c r="B672" s="138"/>
      <c r="C672" s="135"/>
      <c r="D672" s="128"/>
      <c r="E672" s="137"/>
    </row>
    <row r="673" spans="2:5" ht="15">
      <c r="B673" s="138"/>
      <c r="C673" s="135"/>
      <c r="D673" s="128"/>
      <c r="E673" s="137"/>
    </row>
    <row r="674" spans="2:5" ht="15">
      <c r="B674" s="138"/>
      <c r="C674" s="135"/>
      <c r="D674" s="128"/>
      <c r="E674" s="137"/>
    </row>
    <row r="675" spans="2:5" ht="15">
      <c r="B675" s="138"/>
      <c r="C675" s="135"/>
      <c r="D675" s="128"/>
      <c r="E675" s="137"/>
    </row>
    <row r="676" spans="2:5" ht="15">
      <c r="B676" s="138"/>
      <c r="C676" s="135"/>
      <c r="D676" s="128"/>
      <c r="E676" s="137"/>
    </row>
    <row r="677" spans="2:5" ht="15">
      <c r="B677" s="138"/>
      <c r="C677" s="135"/>
      <c r="D677" s="128"/>
      <c r="E677" s="137"/>
    </row>
    <row r="678" spans="2:5" ht="15">
      <c r="B678" s="138"/>
      <c r="C678" s="135"/>
      <c r="D678" s="128"/>
      <c r="E678" s="137"/>
    </row>
    <row r="679" spans="2:5" ht="15">
      <c r="B679" s="138"/>
      <c r="C679" s="135"/>
      <c r="D679" s="128"/>
      <c r="E679" s="137"/>
    </row>
    <row r="680" spans="2:5" ht="15">
      <c r="B680" s="138"/>
      <c r="C680" s="135"/>
      <c r="D680" s="128"/>
      <c r="E680" s="137"/>
    </row>
    <row r="681" spans="2:5" ht="15">
      <c r="B681" s="138"/>
      <c r="C681" s="135"/>
      <c r="D681" s="128"/>
      <c r="E681" s="137"/>
    </row>
    <row r="682" spans="2:5" ht="15">
      <c r="B682" s="138"/>
      <c r="C682" s="135"/>
      <c r="D682" s="128"/>
      <c r="E682" s="137"/>
    </row>
    <row r="683" spans="2:5" ht="15">
      <c r="B683" s="138"/>
      <c r="C683" s="135"/>
      <c r="D683" s="128"/>
      <c r="E683" s="137"/>
    </row>
    <row r="684" spans="2:5" ht="15">
      <c r="B684" s="138"/>
      <c r="C684" s="135"/>
      <c r="D684" s="128"/>
      <c r="E684" s="137"/>
    </row>
    <row r="685" spans="2:5" ht="15">
      <c r="B685" s="138"/>
      <c r="C685" s="135"/>
      <c r="D685" s="128"/>
      <c r="E685" s="137"/>
    </row>
    <row r="686" spans="2:5" ht="15">
      <c r="B686" s="138"/>
      <c r="C686" s="135"/>
      <c r="D686" s="128"/>
      <c r="E686" s="137"/>
    </row>
    <row r="687" spans="2:5" ht="15">
      <c r="B687" s="138"/>
      <c r="C687" s="135"/>
      <c r="D687" s="128"/>
      <c r="E687" s="137"/>
    </row>
    <row r="688" spans="2:5" ht="15">
      <c r="B688" s="138"/>
      <c r="C688" s="135"/>
      <c r="D688" s="128"/>
      <c r="E688" s="137"/>
    </row>
    <row r="689" spans="2:5" ht="15">
      <c r="B689" s="138"/>
      <c r="C689" s="135"/>
      <c r="D689" s="128"/>
      <c r="E689" s="137"/>
    </row>
    <row r="690" spans="2:5" ht="15">
      <c r="B690" s="138"/>
      <c r="C690" s="135"/>
      <c r="D690" s="128"/>
      <c r="E690" s="137"/>
    </row>
    <row r="691" spans="2:5" ht="15">
      <c r="B691" s="138"/>
      <c r="C691" s="135"/>
      <c r="D691" s="128"/>
      <c r="E691" s="137"/>
    </row>
    <row r="692" spans="2:5" ht="15">
      <c r="B692" s="138"/>
      <c r="C692" s="135"/>
      <c r="D692" s="128"/>
      <c r="E692" s="137"/>
    </row>
    <row r="693" spans="2:5" ht="15">
      <c r="B693" s="138"/>
      <c r="C693" s="135"/>
      <c r="D693" s="128"/>
      <c r="E693" s="137"/>
    </row>
    <row r="694" spans="2:5" ht="15">
      <c r="B694" s="138"/>
      <c r="C694" s="135"/>
      <c r="D694" s="128"/>
      <c r="E694" s="137"/>
    </row>
    <row r="695" spans="2:5" ht="15">
      <c r="B695" s="138"/>
      <c r="C695" s="135"/>
      <c r="D695" s="128"/>
      <c r="E695" s="137"/>
    </row>
    <row r="696" spans="2:5" ht="15">
      <c r="B696" s="138"/>
      <c r="C696" s="135"/>
      <c r="D696" s="128"/>
      <c r="E696" s="137"/>
    </row>
    <row r="697" spans="2:5" ht="15">
      <c r="B697" s="138"/>
      <c r="C697" s="135"/>
      <c r="D697" s="128"/>
      <c r="E697" s="137"/>
    </row>
    <row r="698" spans="2:5" ht="15">
      <c r="B698" s="138"/>
      <c r="C698" s="135"/>
      <c r="D698" s="128"/>
      <c r="E698" s="137"/>
    </row>
    <row r="699" spans="2:5" ht="15">
      <c r="B699" s="138"/>
      <c r="C699" s="135"/>
      <c r="D699" s="128"/>
      <c r="E699" s="137"/>
    </row>
    <row r="700" spans="2:5" ht="15">
      <c r="B700" s="138"/>
      <c r="C700" s="135"/>
      <c r="D700" s="128"/>
      <c r="E700" s="137"/>
    </row>
    <row r="701" spans="2:5" ht="15">
      <c r="B701" s="138"/>
      <c r="C701" s="135"/>
      <c r="D701" s="128"/>
      <c r="E701" s="137"/>
    </row>
    <row r="702" spans="2:5" ht="15">
      <c r="B702" s="138"/>
      <c r="C702" s="135"/>
      <c r="D702" s="128"/>
      <c r="E702" s="137"/>
    </row>
    <row r="703" spans="2:5" ht="15">
      <c r="B703" s="138"/>
      <c r="C703" s="135"/>
      <c r="D703" s="128"/>
      <c r="E703" s="137"/>
    </row>
    <row r="704" spans="2:5" ht="15">
      <c r="B704" s="138"/>
      <c r="C704" s="135"/>
      <c r="D704" s="128"/>
      <c r="E704" s="137"/>
    </row>
    <row r="705" spans="2:5" ht="15">
      <c r="B705" s="138"/>
      <c r="C705" s="135"/>
      <c r="D705" s="128"/>
      <c r="E705" s="137"/>
    </row>
    <row r="706" spans="2:5" ht="15">
      <c r="B706" s="138"/>
      <c r="C706" s="135"/>
      <c r="D706" s="128"/>
      <c r="E706" s="137"/>
    </row>
    <row r="707" spans="2:5" ht="15">
      <c r="B707" s="138"/>
      <c r="C707" s="135"/>
      <c r="D707" s="128"/>
      <c r="E707" s="137"/>
    </row>
    <row r="708" spans="2:5" ht="15">
      <c r="B708" s="138"/>
      <c r="C708" s="135"/>
      <c r="D708" s="128"/>
      <c r="E708" s="137"/>
    </row>
    <row r="709" spans="2:5" ht="15">
      <c r="B709" s="138"/>
      <c r="C709" s="135"/>
      <c r="D709" s="128"/>
      <c r="E709" s="137"/>
    </row>
  </sheetData>
  <autoFilter ref="A1:F2" xr:uid="{00000000-0009-0000-0000-000005000000}"/>
  <mergeCells count="1">
    <mergeCell ref="A1:E1"/>
  </mergeCells>
  <conditionalFormatting sqref="C302:C709 C2:C181">
    <cfRule type="containsText" dxfId="0" priority="1" operator="containsText" text="Đã nạp">
      <formula>NOT(ISERROR(SEARCH(("Đã nạp"),(C2))))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Danh Sách Tổng KH</vt:lpstr>
      <vt:lpstr>Danh Sách Hủy Đơn</vt:lpstr>
      <vt:lpstr>Danh Sách Phát Sinh</vt:lpstr>
      <vt:lpstr>Danh Sách Đơn Chưa Cho Chạy</vt:lpstr>
      <vt:lpstr>Trạng thái Đơn OTP</vt:lpstr>
      <vt:lpstr>Trạng thái Đơn Nạp hộ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Đặng Minh Hoàng</cp:lastModifiedBy>
  <dcterms:modified xsi:type="dcterms:W3CDTF">2026-10-12T03:28:42Z</dcterms:modified>
</cp:coreProperties>
</file>